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https://uespe-my.sharepoint.com/personal/sbrivera2_espe_edu_ec/Documents/Ingeniería de Requisitos/Perfil del proyecto G3/"/>
    </mc:Choice>
  </mc:AlternateContent>
  <xr:revisionPtr revIDLastSave="0" documentId="8_{129FFA6D-50E8-4AC1-B380-56FCA6870507}" xr6:coauthVersionLast="47" xr6:coauthVersionMax="47" xr10:uidLastSave="{00000000-0000-0000-0000-000000000000}"/>
  <bookViews>
    <workbookView xWindow="-120" yWindow="-120" windowWidth="20730" windowHeight="11760" xr2:uid="{00000000-000D-0000-FFFF-FFFF00000000}"/>
  </bookViews>
  <sheets>
    <sheet name="Backlog" sheetId="1" r:id="rId1"/>
    <sheet name="sprint0" sheetId="2" r:id="rId2"/>
    <sheet name="burdonchart"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umbVZyOcx52yre52oR6StKY4AhwVaEfQZSgxcWGFbfY="/>
    </ext>
  </extLst>
</workbook>
</file>

<file path=xl/calcChain.xml><?xml version="1.0" encoding="utf-8"?>
<calcChain xmlns="http://schemas.openxmlformats.org/spreadsheetml/2006/main">
  <c r="C35" i="3" l="1"/>
  <c r="J23" i="3"/>
  <c r="J24" i="3"/>
  <c r="J25" i="3"/>
  <c r="J26" i="3"/>
  <c r="J27" i="3"/>
  <c r="C34" i="3"/>
  <c r="D34" i="3" s="1"/>
  <c r="E34" i="3" s="1"/>
  <c r="F34" i="3" s="1"/>
  <c r="G34" i="3" s="1"/>
  <c r="H34" i="3" s="1"/>
  <c r="I34" i="3" s="1"/>
  <c r="J22" i="3"/>
  <c r="J21" i="3"/>
  <c r="I51" i="2"/>
  <c r="I61" i="2"/>
  <c r="J17" i="3"/>
  <c r="J18" i="3"/>
  <c r="J19" i="3"/>
  <c r="J20" i="3"/>
  <c r="D35" i="3"/>
  <c r="J16" i="3"/>
  <c r="I41" i="2"/>
  <c r="J5" i="3"/>
  <c r="J6" i="3"/>
  <c r="J7" i="3"/>
  <c r="J8" i="3"/>
  <c r="J9" i="3"/>
  <c r="J10" i="3"/>
  <c r="J11" i="3"/>
  <c r="J12" i="3"/>
  <c r="J13" i="3"/>
  <c r="J14" i="3"/>
  <c r="J15" i="3"/>
  <c r="J4" i="3"/>
  <c r="J28" i="3" s="1"/>
  <c r="E35" i="3"/>
  <c r="F35" i="3" s="1"/>
  <c r="G35" i="3" s="1"/>
  <c r="H35" i="3" s="1"/>
  <c r="I35" i="3" s="1"/>
  <c r="I33" i="2"/>
  <c r="I9" i="2"/>
  <c r="I16" i="2"/>
  <c r="I23" i="2"/>
  <c r="I65" i="2" l="1"/>
</calcChain>
</file>

<file path=xl/sharedStrings.xml><?xml version="1.0" encoding="utf-8"?>
<sst xmlns="http://schemas.openxmlformats.org/spreadsheetml/2006/main" count="297" uniqueCount="150">
  <si>
    <t>ID RF</t>
  </si>
  <si>
    <t>Tema</t>
  </si>
  <si>
    <t>Como un..</t>
  </si>
  <si>
    <t>necesito</t>
  </si>
  <si>
    <t>asi podre...</t>
  </si>
  <si>
    <t>notas</t>
  </si>
  <si>
    <t>prioridad</t>
  </si>
  <si>
    <t>estatus</t>
  </si>
  <si>
    <t>UC-001</t>
  </si>
  <si>
    <t xml:space="preserve">Registro de Pedidos en línea </t>
  </si>
  <si>
    <t>Cliente</t>
  </si>
  <si>
    <t>Registrar pedidos de productos</t>
  </si>
  <si>
    <t>Registrar en el sistema y se genera una confirmación de pedido</t>
  </si>
  <si>
    <t>Alta</t>
  </si>
  <si>
    <t>Pendiente</t>
  </si>
  <si>
    <t>UC-002</t>
  </si>
  <si>
    <t>Gestión de Inventarios</t>
  </si>
  <si>
    <t>Administrador</t>
  </si>
  <si>
    <t>Controlar el inventario de productos almacenados</t>
  </si>
  <si>
    <t>Administrar un sistema actualizado de productos.</t>
  </si>
  <si>
    <t>UC-003</t>
  </si>
  <si>
    <t xml:space="preserve">Realización de Compras en Línea </t>
  </si>
  <si>
    <t>Realizar compras en línea a través de la plataforma web de AE Vision.</t>
  </si>
  <si>
    <t>Realizar compras y reservas de productos en línea.</t>
  </si>
  <si>
    <t>UC-004</t>
  </si>
  <si>
    <t xml:space="preserve">Gestión de Empleados </t>
  </si>
  <si>
    <t>Gestionar la información de los empleados en el sistema de AE Vision</t>
  </si>
  <si>
    <t>Realizar las operaciones de gestión de empleados.</t>
  </si>
  <si>
    <t>UC-005</t>
  </si>
  <si>
    <t xml:space="preserve">Control de Horarios y Asistencia </t>
  </si>
  <si>
    <t>Administrador, Empleado</t>
  </si>
  <si>
    <t>Gestionar y registrar los horarios y la asistencia en el sistema</t>
  </si>
  <si>
    <t>Tener un historial de registro y sistema actualizado.</t>
  </si>
  <si>
    <t xml:space="preserve">UC-006 </t>
  </si>
  <si>
    <t>Manejo de Consultas y Problemas del Cliente</t>
  </si>
  <si>
    <t>Equipo Técnico</t>
  </si>
  <si>
    <t>Resolver consultas y problemas reportados por los clientes</t>
  </si>
  <si>
    <t>Mantener altos niveles de satisfacción al cliente.</t>
  </si>
  <si>
    <t>SPRINT 1</t>
  </si>
  <si>
    <t>ID</t>
  </si>
  <si>
    <t>Necesito</t>
  </si>
  <si>
    <t>así podre...</t>
  </si>
  <si>
    <t>Prioridad</t>
  </si>
  <si>
    <t>Status</t>
  </si>
  <si>
    <t>REQ001</t>
  </si>
  <si>
    <t>Crear cuenta de inicio de sesión</t>
  </si>
  <si>
    <t>Personal(residente)/Administrador(Tesorero)</t>
  </si>
  <si>
    <t>Crear usuario y contraseña</t>
  </si>
  <si>
    <t>Iniciar sesión y realizar las respectivas acciones de gestion.</t>
  </si>
  <si>
    <t>Cada tipo de usuario tiene su respectivo apartado de trabajo.</t>
  </si>
  <si>
    <t>Media</t>
  </si>
  <si>
    <t>Terminado</t>
  </si>
  <si>
    <t>Tareas</t>
  </si>
  <si>
    <t>Asignado</t>
  </si>
  <si>
    <t>Estimado</t>
  </si>
  <si>
    <t>REQ001-1</t>
  </si>
  <si>
    <t>Crear pagina de inicio de sesión.</t>
  </si>
  <si>
    <t>Lindsay Barrionuevo</t>
  </si>
  <si>
    <t>REQ001-2</t>
  </si>
  <si>
    <t>Registro de cuentas en la base de datos.</t>
  </si>
  <si>
    <t>REQ001-3</t>
  </si>
  <si>
    <t>Confirmacion de registro de cuentas</t>
  </si>
  <si>
    <t>Suma</t>
  </si>
  <si>
    <t>REQ002</t>
  </si>
  <si>
    <t>Validación de Perfiles de Usuario</t>
  </si>
  <si>
    <t>Administrador/Residente</t>
  </si>
  <si>
    <t>Privacidad en los datos de acuerdo al perfl de usuario.</t>
  </si>
  <si>
    <t xml:space="preserve"> Mantener los datos de cada inquilino sin tergiversados, solo la tesorera tenga el control total y el residente solo lectura de los suyos.</t>
  </si>
  <si>
    <t>Verificar la distinta vista</t>
  </si>
  <si>
    <t>REQ002-1</t>
  </si>
  <si>
    <t>Crear apartado de administrador.</t>
  </si>
  <si>
    <t>REQ002-2</t>
  </si>
  <si>
    <t>Crear apartado de residente.</t>
  </si>
  <si>
    <t>REQ002-3</t>
  </si>
  <si>
    <t>Validar el direccionamiento segun el tipo de usuario.</t>
  </si>
  <si>
    <t>REQ003</t>
  </si>
  <si>
    <t>Ingreso de datos de residentes</t>
  </si>
  <si>
    <t>Registrar los datos de los residentes</t>
  </si>
  <si>
    <t>Mantener la constancia de los pagos realizados por los residentes.</t>
  </si>
  <si>
    <t>REQ003-1</t>
  </si>
  <si>
    <t xml:space="preserve">Crear apartado de ingreso </t>
  </si>
  <si>
    <t>Joel Rivera</t>
  </si>
  <si>
    <t>REQ003-2</t>
  </si>
  <si>
    <t>Crear formulario de ingreso residente</t>
  </si>
  <si>
    <t>REQ003-3</t>
  </si>
  <si>
    <t>Crear formulario de ingreso pago</t>
  </si>
  <si>
    <t>SPRINT 2</t>
  </si>
  <si>
    <t>REQ004</t>
  </si>
  <si>
    <t>Búsqueda de Información de residentes</t>
  </si>
  <si>
    <t>Administrador
/Residente</t>
  </si>
  <si>
    <t>Debo poder hacer consulta de datos acerca de los residentes y ver mis datos si soy residente.</t>
  </si>
  <si>
    <t>Para verificar con el cumplimiento de los pagos de cada residente si soy administrador y ver mi historial de pagos corroborando la informacion si soy un residente.</t>
  </si>
  <si>
    <t>REQ004-1</t>
  </si>
  <si>
    <t>Crear apartado de Búsqueda de Residente</t>
  </si>
  <si>
    <t>REQ004-2</t>
  </si>
  <si>
    <t>Crear formularios con criterios de búsqueda</t>
  </si>
  <si>
    <t>REQ004-3</t>
  </si>
  <si>
    <t>Crear tablas para mostrar la información</t>
  </si>
  <si>
    <t>REQ004-4</t>
  </si>
  <si>
    <t>Validar la lectura por la Base de Datos.</t>
  </si>
  <si>
    <t>REQ005</t>
  </si>
  <si>
    <t>Eliminación de informacion de residentes</t>
  </si>
  <si>
    <t>Eliminar la información obsoleta referente al residente</t>
  </si>
  <si>
    <t>Evitar la carga de datos innecesaria</t>
  </si>
  <si>
    <t>REQ005-1</t>
  </si>
  <si>
    <t>Crear boton de eliminacion de residentes(tablas)</t>
  </si>
  <si>
    <t>Leonardo Yaranga</t>
  </si>
  <si>
    <t>REQ005-2</t>
  </si>
  <si>
    <t>Crear boton de eliminacion de pagos(tablas)</t>
  </si>
  <si>
    <t>REQ005-3</t>
  </si>
  <si>
    <t>Eliminacion de varios elementos.</t>
  </si>
  <si>
    <t>REQ005-4</t>
  </si>
  <si>
    <t>Validar la eliminacion por la Base de Datos.</t>
  </si>
  <si>
    <t>SPRINT 3</t>
  </si>
  <si>
    <t>REQ006</t>
  </si>
  <si>
    <t>Edicion de informacion de residentes</t>
  </si>
  <si>
    <t>Actualizar y/o modificar los datos de algun residente</t>
  </si>
  <si>
    <t>Tener el estado económico al día y correcto</t>
  </si>
  <si>
    <t>REQ006-1</t>
  </si>
  <si>
    <t>1. Creación de una opción de modificación de datos tipo botón.</t>
  </si>
  <si>
    <t>Erick Lasluisa</t>
  </si>
  <si>
    <t>REQ006-2</t>
  </si>
  <si>
    <t>2. Actualizar automáticamente a la Base de Datos.</t>
  </si>
  <si>
    <t>REQ007</t>
  </si>
  <si>
    <t>Ingreso de Soportes</t>
  </si>
  <si>
    <t>Un apartado que me permita ingresar los nuevos contactos de los servicios de la Urbanización a manera de soporte</t>
  </si>
  <si>
    <t>Mantener actualizados los contactos de los servicios que se brindan en la Urbanización y encontrarlos de manera sencilla</t>
  </si>
  <si>
    <t>Medio</t>
  </si>
  <si>
    <t>REQ007-1</t>
  </si>
  <si>
    <t>1. Creación de una sección que permita la gestion de los servicios de la urbanización.</t>
  </si>
  <si>
    <t>REQ007-2</t>
  </si>
  <si>
    <t>2. Creación de un formulario que nos permita el ingreso de la información del nuevo servicio.</t>
  </si>
  <si>
    <t>REQ007-3</t>
  </si>
  <si>
    <t>3. Creación de una opción de eliminacion de datos tipo botón.</t>
  </si>
  <si>
    <t>REQ007-4</t>
  </si>
  <si>
    <t>4. Creación de una opción de modificación de datos tipo botón.</t>
  </si>
  <si>
    <t>REQ007-5</t>
  </si>
  <si>
    <t>5. Actualizar automáticamente a la Base de Datos.</t>
  </si>
  <si>
    <t>Total</t>
  </si>
  <si>
    <t>Dia 6</t>
  </si>
  <si>
    <t>Dia 5</t>
  </si>
  <si>
    <t>Dia 4</t>
  </si>
  <si>
    <t>Dia 3</t>
  </si>
  <si>
    <t>Dia 2</t>
  </si>
  <si>
    <t>Dia 1</t>
  </si>
  <si>
    <t>Total de Horas</t>
  </si>
  <si>
    <t>Horas Estimadas</t>
  </si>
  <si>
    <t>Horas Estimadas
Restantes</t>
  </si>
  <si>
    <t>Al completar el Sprint 3, se ha cumplido en su totalidad con los requisitos funcionales, en el cual podemos apreciar que inicialmente se mantuvo un tenue retraso del desarrollo, sin embargo, se soluciona entre el tercer y cuarto día. En los siguientes días apreciamos un adelanto, es decir, el ritmo de trabajo incremetó. Finalmente, las horas son compensadas, culminando en el último día con las horas de trabajo estimadas, percatándonos qué para lograr cumplir con éxito el desarrollo, el avance de horas ha sido mayor al estimado.</t>
  </si>
  <si>
    <t xml:space="preserve">Al analizar nuestro ritmo de trabajo más detalladamente, se recomienda llevar un mayor control con el avance de las horas trabajadas, ya que así nuestro trabajo se vería lo más cercano a las horas estimadas (línea roja) llevando un ritmo prolijo, incluso sin necesidad de compensar horas extras por un retraso inicial.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</si>
</sst>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4">
    <font>
      <sz val="10"/>
      <color rgb="FF000000"/>
      <name val="Arial"/>
      <scheme val="minor"/>
    </font>
    <font>
      <b/>
      <sz val="10"/>
      <color theme="1"/>
      <name val="Arial"/>
    </font>
    <font>
      <sz val="10"/>
      <color rgb="FF0000FF"/>
      <name val="Arial"/>
    </font>
    <font>
      <sz val="10"/>
      <color theme="1"/>
      <name val="Arial"/>
    </font>
    <font>
      <sz val="10"/>
      <color rgb="FF000000"/>
      <name val="Arial"/>
    </font>
    <font>
      <sz val="10"/>
      <color rgb="FF000000"/>
      <name val="Roboto"/>
    </font>
    <font>
      <sz val="10"/>
      <color theme="1"/>
      <name val="Arial"/>
      <scheme val="minor"/>
    </font>
    <font>
      <b/>
      <sz val="10"/>
      <color rgb="FF000000"/>
      <name val="Arial"/>
      <scheme val="minor"/>
    </font>
    <font>
      <sz val="10"/>
      <color rgb="FF000000"/>
      <name val="Calibri"/>
      <charset val="1"/>
    </font>
    <font>
      <sz val="10"/>
      <color rgb="FF000000"/>
      <name val="Arial"/>
      <charset val="1"/>
    </font>
    <font>
      <u/>
      <sz val="10"/>
      <color rgb="FF000000"/>
      <name val="Arial"/>
      <scheme val="minor"/>
    </font>
    <font>
      <sz val="9"/>
      <color theme="1"/>
      <name val="Arial"/>
    </font>
    <font>
      <b/>
      <sz val="10"/>
      <color theme="1"/>
      <name val="Arial"/>
      <family val="2"/>
    </font>
    <font>
      <sz val="10"/>
      <color rgb="FF0000FF"/>
      <name val="Arial"/>
      <scheme val="minor"/>
    </font>
  </fonts>
  <fills count="10">
    <fill>
      <patternFill patternType="none"/>
    </fill>
    <fill>
      <patternFill patternType="gray125"/>
    </fill>
    <fill>
      <patternFill patternType="solid">
        <fgColor rgb="FFFFFFFF"/>
        <bgColor rgb="FFFFFFFF"/>
      </patternFill>
    </fill>
    <fill>
      <patternFill patternType="solid">
        <fgColor rgb="FF9FC5E8"/>
        <bgColor rgb="FF9FC5E8"/>
      </patternFill>
    </fill>
    <fill>
      <patternFill patternType="solid">
        <fgColor rgb="FF00FF00"/>
        <bgColor rgb="FF00FF00"/>
      </patternFill>
    </fill>
    <fill>
      <patternFill patternType="solid">
        <fgColor rgb="FFFF9900"/>
        <bgColor rgb="FFFF9900"/>
      </patternFill>
    </fill>
    <fill>
      <patternFill patternType="solid">
        <fgColor theme="9" tint="-0.249977111117893"/>
        <bgColor indexed="64"/>
      </patternFill>
    </fill>
    <fill>
      <patternFill patternType="solid">
        <fgColor theme="8" tint="0.39997558519241921"/>
        <bgColor indexed="64"/>
      </patternFill>
    </fill>
    <fill>
      <patternFill patternType="solid">
        <fgColor rgb="FF00FF00"/>
        <bgColor indexed="64"/>
      </patternFill>
    </fill>
    <fill>
      <patternFill patternType="solid">
        <fgColor theme="9" tint="0.79998168889431442"/>
        <bgColor indexed="64"/>
      </patternFill>
    </fill>
  </fills>
  <borders count="5">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7">
    <xf numFmtId="0" fontId="0" fillId="0" borderId="0" xfId="0"/>
    <xf numFmtId="0" fontId="1" fillId="0" borderId="0" xfId="0" applyFont="1" applyAlignment="1">
      <alignment horizontal="center"/>
    </xf>
    <xf numFmtId="0" fontId="2" fillId="0" borderId="0" xfId="0" applyFont="1"/>
    <xf numFmtId="0" fontId="3" fillId="0" borderId="0" xfId="0" applyFont="1"/>
    <xf numFmtId="0" fontId="4" fillId="0" borderId="0" xfId="0" applyFont="1"/>
    <xf numFmtId="0" fontId="3" fillId="3" borderId="1" xfId="0" applyFont="1" applyFill="1" applyBorder="1"/>
    <xf numFmtId="0" fontId="1" fillId="0" borderId="0" xfId="0" applyFont="1"/>
    <xf numFmtId="0" fontId="2" fillId="0" borderId="0" xfId="0" applyFont="1" applyAlignment="1">
      <alignment horizontal="right"/>
    </xf>
    <xf numFmtId="0" fontId="3" fillId="0" borderId="0" xfId="0" applyFont="1" applyAlignment="1">
      <alignment horizontal="right"/>
    </xf>
    <xf numFmtId="0" fontId="6" fillId="0" borderId="0" xfId="0" applyFont="1"/>
    <xf numFmtId="0" fontId="3" fillId="4" borderId="1" xfId="0" applyFont="1" applyFill="1" applyBorder="1" applyAlignment="1">
      <alignment horizontal="right"/>
    </xf>
    <xf numFmtId="0" fontId="3" fillId="5" borderId="1" xfId="0" applyFont="1" applyFill="1" applyBorder="1"/>
    <xf numFmtId="0" fontId="3" fillId="3" borderId="1" xfId="0" applyFont="1" applyFill="1" applyBorder="1" applyAlignment="1">
      <alignment vertical="top" wrapText="1"/>
    </xf>
    <xf numFmtId="0" fontId="2" fillId="3" borderId="1" xfId="0" applyFont="1" applyFill="1" applyBorder="1" applyAlignment="1">
      <alignment vertical="top" wrapText="1"/>
    </xf>
    <xf numFmtId="0" fontId="3" fillId="3" borderId="0" xfId="0" applyFont="1" applyFill="1" applyAlignment="1">
      <alignment vertical="top" wrapText="1"/>
    </xf>
    <xf numFmtId="0" fontId="2" fillId="0" borderId="0" xfId="0" applyFont="1" applyAlignment="1">
      <alignment wrapText="1"/>
    </xf>
    <xf numFmtId="0" fontId="2" fillId="6" borderId="0" xfId="0" applyFont="1" applyFill="1" applyAlignment="1">
      <alignment horizontal="right"/>
    </xf>
    <xf numFmtId="0" fontId="3" fillId="6" borderId="0" xfId="0" applyFont="1" applyFill="1"/>
    <xf numFmtId="0" fontId="3" fillId="6" borderId="0" xfId="0" applyFont="1" applyFill="1" applyAlignment="1">
      <alignment horizontal="right"/>
    </xf>
    <xf numFmtId="0" fontId="4" fillId="6" borderId="1" xfId="0" applyFont="1" applyFill="1" applyBorder="1" applyAlignment="1">
      <alignment horizontal="right"/>
    </xf>
    <xf numFmtId="0" fontId="3" fillId="7" borderId="0" xfId="0" applyFont="1" applyFill="1" applyAlignment="1">
      <alignment vertical="top"/>
    </xf>
    <xf numFmtId="0" fontId="4" fillId="7" borderId="0" xfId="0" applyFont="1" applyFill="1" applyAlignment="1">
      <alignment vertical="top"/>
    </xf>
    <xf numFmtId="0" fontId="5" fillId="7" borderId="1" xfId="0" applyFont="1" applyFill="1" applyBorder="1" applyAlignment="1">
      <alignment vertical="top"/>
    </xf>
    <xf numFmtId="0" fontId="3" fillId="7" borderId="0" xfId="0" applyFont="1" applyFill="1" applyAlignment="1">
      <alignment vertical="top" wrapText="1"/>
    </xf>
    <xf numFmtId="0" fontId="2" fillId="7" borderId="0" xfId="0" applyFont="1" applyFill="1" applyAlignment="1">
      <alignment vertical="top"/>
    </xf>
    <xf numFmtId="0" fontId="7" fillId="0" borderId="0" xfId="0" applyFont="1"/>
    <xf numFmtId="0" fontId="1" fillId="0" borderId="0" xfId="0" applyFont="1" applyAlignment="1">
      <alignment horizontal="left"/>
    </xf>
    <xf numFmtId="0" fontId="3" fillId="0" borderId="0" xfId="0" applyFont="1" applyAlignment="1">
      <alignment horizontal="left"/>
    </xf>
    <xf numFmtId="0" fontId="3" fillId="3" borderId="1" xfId="0" applyFont="1" applyFill="1" applyBorder="1" applyAlignment="1">
      <alignment wrapText="1"/>
    </xf>
    <xf numFmtId="0" fontId="3" fillId="3" borderId="0" xfId="0" applyFont="1" applyFill="1"/>
    <xf numFmtId="0" fontId="5" fillId="7" borderId="0" xfId="0" applyFont="1" applyFill="1" applyAlignment="1">
      <alignment vertical="top" wrapText="1"/>
    </xf>
    <xf numFmtId="0" fontId="1" fillId="0" borderId="2" xfId="0" applyFont="1" applyBorder="1" applyAlignment="1">
      <alignment horizontal="center"/>
    </xf>
    <xf numFmtId="0" fontId="0" fillId="0" borderId="1" xfId="0" applyBorder="1"/>
    <xf numFmtId="0" fontId="4" fillId="7" borderId="0" xfId="0" applyFont="1" applyFill="1" applyAlignment="1">
      <alignment vertical="top" wrapText="1"/>
    </xf>
    <xf numFmtId="0" fontId="6" fillId="6" borderId="0" xfId="0" applyFont="1" applyFill="1"/>
    <xf numFmtId="0" fontId="0" fillId="6" borderId="0" xfId="0" applyFill="1"/>
    <xf numFmtId="2" fontId="3" fillId="0" borderId="0" xfId="0" applyNumberFormat="1" applyFont="1"/>
    <xf numFmtId="0" fontId="10" fillId="0" borderId="0" xfId="0" applyFont="1"/>
    <xf numFmtId="0" fontId="3" fillId="8" borderId="1" xfId="0" applyFont="1" applyFill="1" applyBorder="1" applyAlignment="1">
      <alignment horizontal="right"/>
    </xf>
    <xf numFmtId="2" fontId="11" fillId="0" borderId="0" xfId="0" applyNumberFormat="1" applyFont="1"/>
    <xf numFmtId="0" fontId="8" fillId="0" borderId="0" xfId="0" applyFont="1"/>
    <xf numFmtId="0" fontId="0" fillId="9" borderId="0" xfId="0" applyFill="1"/>
    <xf numFmtId="0" fontId="0" fillId="0" borderId="0" xfId="0" applyAlignment="1">
      <alignment wrapText="1"/>
    </xf>
    <xf numFmtId="0" fontId="12" fillId="0" borderId="2" xfId="0" applyFont="1" applyBorder="1" applyAlignment="1">
      <alignment horizontal="center"/>
    </xf>
    <xf numFmtId="0" fontId="13" fillId="0" borderId="2" xfId="0" applyFont="1" applyBorder="1" applyAlignment="1">
      <alignment horizontal="left" vertical="center"/>
    </xf>
    <xf numFmtId="0" fontId="13" fillId="0" borderId="2" xfId="0" applyFont="1" applyBorder="1" applyAlignment="1">
      <alignment horizontal="left" vertical="center" wrapText="1"/>
    </xf>
    <xf numFmtId="0" fontId="6" fillId="0" borderId="2" xfId="0" applyFont="1" applyBorder="1" applyAlignment="1">
      <alignment vertical="center"/>
    </xf>
    <xf numFmtId="0" fontId="6" fillId="0" borderId="2" xfId="0" applyFont="1" applyBorder="1" applyAlignment="1">
      <alignment horizontal="left" vertical="center"/>
    </xf>
    <xf numFmtId="0" fontId="6" fillId="0" borderId="2" xfId="0" applyFont="1" applyBorder="1" applyAlignment="1">
      <alignment horizontal="left" vertical="center" wrapText="1"/>
    </xf>
    <xf numFmtId="0" fontId="0" fillId="0" borderId="2" xfId="0" applyBorder="1" applyAlignment="1">
      <alignment horizontal="left" vertical="center" wrapText="1"/>
    </xf>
    <xf numFmtId="0" fontId="0" fillId="0" borderId="2" xfId="0" applyBorder="1" applyAlignment="1">
      <alignment horizontal="left" vertical="center"/>
    </xf>
    <xf numFmtId="0" fontId="6" fillId="0" borderId="3" xfId="0" applyFont="1" applyBorder="1" applyAlignment="1">
      <alignment horizontal="left" vertical="center"/>
    </xf>
    <xf numFmtId="0" fontId="0" fillId="0" borderId="3" xfId="0" applyBorder="1" applyAlignment="1">
      <alignment horizontal="left" vertical="center"/>
    </xf>
    <xf numFmtId="0" fontId="0" fillId="0" borderId="2" xfId="0" applyBorder="1" applyAlignment="1">
      <alignment vertical="center"/>
    </xf>
    <xf numFmtId="0" fontId="0" fillId="0" borderId="1" xfId="0" applyBorder="1" applyAlignment="1">
      <alignment vertical="center"/>
    </xf>
    <xf numFmtId="0" fontId="6" fillId="0" borderId="2" xfId="0" applyFont="1" applyBorder="1" applyAlignment="1">
      <alignment vertical="center" wrapText="1"/>
    </xf>
    <xf numFmtId="0" fontId="0" fillId="0" borderId="3" xfId="0" applyBorder="1" applyAlignment="1">
      <alignment vertical="center" wrapText="1"/>
    </xf>
    <xf numFmtId="0" fontId="6" fillId="0" borderId="4" xfId="0" applyFont="1" applyBorder="1" applyAlignment="1">
      <alignment vertical="center" wrapText="1"/>
    </xf>
    <xf numFmtId="0" fontId="13" fillId="0" borderId="2" xfId="0" applyFont="1" applyBorder="1" applyAlignment="1">
      <alignment vertical="center"/>
    </xf>
    <xf numFmtId="0" fontId="6" fillId="0" borderId="3" xfId="0" applyFont="1" applyBorder="1" applyAlignment="1">
      <alignment vertical="center" wrapText="1"/>
    </xf>
    <xf numFmtId="0" fontId="0" fillId="2" borderId="2" xfId="0" applyFill="1" applyBorder="1" applyAlignment="1">
      <alignment vertical="center" wrapText="1"/>
    </xf>
    <xf numFmtId="0" fontId="9" fillId="0" borderId="1" xfId="0" applyFont="1" applyBorder="1" applyAlignment="1">
      <alignment horizontal="center" wrapText="1"/>
    </xf>
    <xf numFmtId="0" fontId="0" fillId="0" borderId="0" xfId="0" applyAlignment="1">
      <alignment horizontal="center" vertical="center" wrapText="1"/>
    </xf>
    <xf numFmtId="0" fontId="2" fillId="0" borderId="0" xfId="0" applyFont="1" applyAlignment="1"/>
    <xf numFmtId="0" fontId="0" fillId="0" borderId="0" xfId="0" applyAlignment="1"/>
    <xf numFmtId="0" fontId="3" fillId="0" borderId="0" xfId="0" applyFont="1" applyAlignment="1"/>
    <xf numFmtId="0" fontId="4" fillId="0" borderId="0" xfId="0" applyFont="1" applyAlignment="1"/>
  </cellXfs>
  <cellStyles count="1">
    <cellStyle name="Normal" xfId="0" builtinId="0"/>
  </cellStyles>
  <dxfs count="3">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1">
    <tableStyle name="burdonchart-style" pivot="0" count="3" xr9:uid="{00000000-0011-0000-FFFF-FFFF00000000}">
      <tableStyleElement type="headerRow" dxfId="2"/>
      <tableStyleElement type="firstRowStripe" dxfId="1"/>
      <tableStyleElement type="secondRowStripe" dxfId="0"/>
    </tableStyle>
  </tableStyles>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customschemas.google.com/relationships/workbookmetadata" Target="metadata"/><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 Id="rId14"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lineChart>
        <c:grouping val="standard"/>
        <c:varyColors val="1"/>
        <c:ser>
          <c:idx val="0"/>
          <c:order val="0"/>
          <c:spPr>
            <a:ln cmpd="sng">
              <a:solidFill>
                <a:srgbClr val="3366CC"/>
              </a:solidFill>
            </a:ln>
          </c:spPr>
          <c:marker>
            <c:symbol val="none"/>
          </c:marker>
          <c:val>
            <c:numRef>
              <c:f>burdonchart!$B$34:$I$34</c:f>
              <c:numCache>
                <c:formatCode>General</c:formatCode>
                <c:ptCount val="8"/>
                <c:pt idx="0">
                  <c:v>0</c:v>
                </c:pt>
                <c:pt idx="1">
                  <c:v>56</c:v>
                </c:pt>
                <c:pt idx="2">
                  <c:v>48</c:v>
                </c:pt>
                <c:pt idx="3">
                  <c:v>36</c:v>
                </c:pt>
                <c:pt idx="4">
                  <c:v>22</c:v>
                </c:pt>
                <c:pt idx="5">
                  <c:v>11</c:v>
                </c:pt>
                <c:pt idx="6">
                  <c:v>6</c:v>
                </c:pt>
                <c:pt idx="7">
                  <c:v>0</c:v>
                </c:pt>
              </c:numCache>
            </c:numRef>
          </c:val>
          <c:smooth val="0"/>
          <c:extLst>
            <c:ext xmlns:c16="http://schemas.microsoft.com/office/drawing/2014/chart" uri="{C3380CC4-5D6E-409C-BE32-E72D297353CC}">
              <c16:uniqueId val="{00000000-1620-4713-AF48-1EB56E18A949}"/>
            </c:ext>
          </c:extLst>
        </c:ser>
        <c:ser>
          <c:idx val="1"/>
          <c:order val="1"/>
          <c:spPr>
            <a:ln cmpd="sng">
              <a:solidFill>
                <a:srgbClr val="DC3912"/>
              </a:solidFill>
            </a:ln>
          </c:spPr>
          <c:marker>
            <c:symbol val="none"/>
          </c:marker>
          <c:val>
            <c:numRef>
              <c:f>burdonchart!$B$35:$I$35</c:f>
              <c:numCache>
                <c:formatCode>General</c:formatCode>
                <c:ptCount val="8"/>
                <c:pt idx="0">
                  <c:v>0</c:v>
                </c:pt>
                <c:pt idx="1">
                  <c:v>56</c:v>
                </c:pt>
                <c:pt idx="2" formatCode="0.00">
                  <c:v>46.666666666666664</c:v>
                </c:pt>
                <c:pt idx="3" formatCode="0.00">
                  <c:v>37.333333333333329</c:v>
                </c:pt>
                <c:pt idx="4" formatCode="0.00">
                  <c:v>27.999999999999993</c:v>
                </c:pt>
                <c:pt idx="5" formatCode="0.00">
                  <c:v>18.666666666666657</c:v>
                </c:pt>
                <c:pt idx="6" formatCode="0.00">
                  <c:v>9.3333333333333233</c:v>
                </c:pt>
                <c:pt idx="7" formatCode="0.00">
                  <c:v>0</c:v>
                </c:pt>
              </c:numCache>
            </c:numRef>
          </c:val>
          <c:smooth val="0"/>
          <c:extLst>
            <c:ext xmlns:c16="http://schemas.microsoft.com/office/drawing/2014/chart" uri="{C3380CC4-5D6E-409C-BE32-E72D297353CC}">
              <c16:uniqueId val="{00000001-1620-4713-AF48-1EB56E18A949}"/>
            </c:ext>
          </c:extLst>
        </c:ser>
        <c:dLbls>
          <c:showLegendKey val="0"/>
          <c:showVal val="0"/>
          <c:showCatName val="0"/>
          <c:showSerName val="0"/>
          <c:showPercent val="0"/>
          <c:showBubbleSize val="0"/>
        </c:dLbls>
        <c:smooth val="0"/>
        <c:axId val="416555524"/>
        <c:axId val="2087969067"/>
      </c:lineChart>
      <c:catAx>
        <c:axId val="416555524"/>
        <c:scaling>
          <c:orientation val="minMax"/>
        </c:scaling>
        <c:delete val="0"/>
        <c:axPos val="b"/>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txPr>
          <a:bodyPr/>
          <a:lstStyle/>
          <a:p>
            <a:pPr lvl="0">
              <a:defRPr b="0" i="0">
                <a:solidFill>
                  <a:srgbClr val="000000"/>
                </a:solidFill>
                <a:latin typeface="Roboto"/>
              </a:defRPr>
            </a:pPr>
            <a:endParaRPr lang="en-US"/>
          </a:p>
        </c:txPr>
        <c:crossAx val="2087969067"/>
        <c:crosses val="autoZero"/>
        <c:auto val="1"/>
        <c:lblAlgn val="ctr"/>
        <c:lblOffset val="100"/>
        <c:noMultiLvlLbl val="1"/>
      </c:catAx>
      <c:valAx>
        <c:axId val="208796906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spPr>
          <a:ln/>
        </c:spPr>
        <c:txPr>
          <a:bodyPr/>
          <a:lstStyle/>
          <a:p>
            <a:pPr lvl="0">
              <a:defRPr b="0" i="0">
                <a:solidFill>
                  <a:srgbClr val="000000"/>
                </a:solidFill>
                <a:latin typeface="Roboto"/>
              </a:defRPr>
            </a:pPr>
            <a:endParaRPr lang="en-US"/>
          </a:p>
        </c:txPr>
        <c:crossAx val="416555524"/>
        <c:crosses val="autoZero"/>
        <c:crossBetween val="between"/>
      </c:valAx>
    </c:plotArea>
    <c:legend>
      <c:legendPos val="r"/>
      <c:overlay val="0"/>
      <c:txPr>
        <a:bodyPr/>
        <a:lstStyle/>
        <a:p>
          <a:pPr lvl="0">
            <a:defRPr b="0" i="0">
              <a:solidFill>
                <a:srgbClr val="000000"/>
              </a:solidFill>
              <a:latin typeface="Roboto"/>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xdr:col>
      <xdr:colOff>390525</xdr:colOff>
      <xdr:row>37</xdr:row>
      <xdr:rowOff>104775</xdr:rowOff>
    </xdr:from>
    <xdr:ext cx="5715000" cy="3533775"/>
    <xdr:graphicFrame macro="">
      <xdr:nvGraphicFramePr>
        <xdr:cNvPr id="4" name="Chart 1" title="Gráfico">
          <a:extLst>
            <a:ext uri="{FF2B5EF4-FFF2-40B4-BE49-F238E27FC236}">
              <a16:creationId xmlns:a16="http://schemas.microsoft.com/office/drawing/2014/main" id="{00000000-0008-0000-0200-0000AC00A1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J4:J28" headerRowCount="0" totalsRowCount="1">
  <tableColumns count="1">
    <tableColumn id="1" xr3:uid="{00000000-0010-0000-0000-000001000000}" name="Column1" totalsRowFunction="sum">
      <calculatedColumnFormula>SUM(D4:H4)</calculatedColumnFormula>
    </tableColumn>
  </tableColumns>
  <tableStyleInfo name="burdonchar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998"/>
  <sheetViews>
    <sheetView tabSelected="1" workbookViewId="0">
      <selection activeCell="I4" sqref="I4"/>
    </sheetView>
  </sheetViews>
  <sheetFormatPr defaultColWidth="12.7109375" defaultRowHeight="15" customHeight="1"/>
  <cols>
    <col min="1" max="1" width="12.42578125" customWidth="1"/>
    <col min="2" max="2" width="26.7109375" customWidth="1"/>
    <col min="3" max="3" width="36" customWidth="1"/>
    <col min="4" max="4" width="40" customWidth="1"/>
    <col min="5" max="5" width="55.5703125" customWidth="1"/>
    <col min="6" max="6" width="37.5703125" customWidth="1"/>
    <col min="7" max="26" width="12.42578125" customWidth="1"/>
  </cols>
  <sheetData>
    <row r="1" spans="1:9" ht="15.75" customHeight="1">
      <c r="A1" s="43" t="s">
        <v>0</v>
      </c>
      <c r="B1" s="31" t="s">
        <v>1</v>
      </c>
      <c r="C1" s="31" t="s">
        <v>2</v>
      </c>
      <c r="D1" s="31" t="s">
        <v>3</v>
      </c>
      <c r="E1" s="31" t="s">
        <v>4</v>
      </c>
      <c r="F1" s="31" t="s">
        <v>5</v>
      </c>
      <c r="G1" s="31" t="s">
        <v>6</v>
      </c>
      <c r="H1" s="31" t="s">
        <v>7</v>
      </c>
      <c r="I1" s="32"/>
    </row>
    <row r="2" spans="1:9" ht="31.5" customHeight="1">
      <c r="A2" s="44" t="s">
        <v>8</v>
      </c>
      <c r="B2" s="44" t="s">
        <v>9</v>
      </c>
      <c r="C2" s="44" t="s">
        <v>10</v>
      </c>
      <c r="D2" s="58" t="s">
        <v>11</v>
      </c>
      <c r="E2" s="58" t="s">
        <v>12</v>
      </c>
      <c r="F2" s="45"/>
      <c r="G2" s="48" t="s">
        <v>13</v>
      </c>
      <c r="H2" s="46" t="s">
        <v>14</v>
      </c>
      <c r="I2" s="32"/>
    </row>
    <row r="3" spans="1:9" ht="46.5" customHeight="1">
      <c r="A3" s="47" t="s">
        <v>15</v>
      </c>
      <c r="B3" s="55" t="s">
        <v>16</v>
      </c>
      <c r="C3" s="49" t="s">
        <v>17</v>
      </c>
      <c r="D3" s="60" t="s">
        <v>18</v>
      </c>
      <c r="E3" s="55" t="s">
        <v>19</v>
      </c>
      <c r="F3" s="49"/>
      <c r="G3" s="48" t="s">
        <v>13</v>
      </c>
      <c r="H3" s="46" t="s">
        <v>14</v>
      </c>
      <c r="I3" s="32"/>
    </row>
    <row r="4" spans="1:9" ht="42" customHeight="1">
      <c r="A4" s="47" t="s">
        <v>20</v>
      </c>
      <c r="B4" s="55" t="s">
        <v>21</v>
      </c>
      <c r="C4" s="50" t="s">
        <v>10</v>
      </c>
      <c r="D4" s="60" t="s">
        <v>22</v>
      </c>
      <c r="E4" s="55" t="s">
        <v>23</v>
      </c>
      <c r="F4" s="50"/>
      <c r="G4" s="47" t="s">
        <v>13</v>
      </c>
      <c r="H4" s="46" t="s">
        <v>14</v>
      </c>
      <c r="I4" s="32"/>
    </row>
    <row r="5" spans="1:9" ht="39.75" customHeight="1">
      <c r="A5" s="51" t="s">
        <v>24</v>
      </c>
      <c r="B5" s="56" t="s">
        <v>25</v>
      </c>
      <c r="C5" s="50" t="s">
        <v>17</v>
      </c>
      <c r="D5" s="59" t="s">
        <v>26</v>
      </c>
      <c r="E5" s="59" t="s">
        <v>27</v>
      </c>
      <c r="F5" s="52"/>
      <c r="G5" s="51" t="s">
        <v>13</v>
      </c>
      <c r="H5" s="46" t="s">
        <v>14</v>
      </c>
      <c r="I5" s="32"/>
    </row>
    <row r="6" spans="1:9" ht="33.75" customHeight="1">
      <c r="A6" s="46" t="s">
        <v>28</v>
      </c>
      <c r="B6" s="55" t="s">
        <v>29</v>
      </c>
      <c r="C6" s="48" t="s">
        <v>30</v>
      </c>
      <c r="D6" s="59" t="s">
        <v>31</v>
      </c>
      <c r="E6" s="55" t="s">
        <v>32</v>
      </c>
      <c r="F6" s="53"/>
      <c r="G6" s="46" t="s">
        <v>13</v>
      </c>
      <c r="H6" s="46" t="s">
        <v>14</v>
      </c>
      <c r="I6" s="32"/>
    </row>
    <row r="7" spans="1:9" ht="30.75" customHeight="1">
      <c r="A7" s="46" t="s">
        <v>33</v>
      </c>
      <c r="B7" s="57" t="s">
        <v>34</v>
      </c>
      <c r="C7" s="48" t="s">
        <v>35</v>
      </c>
      <c r="D7" s="57" t="s">
        <v>36</v>
      </c>
      <c r="E7" s="57" t="s">
        <v>37</v>
      </c>
      <c r="F7" s="54"/>
      <c r="G7" s="46" t="s">
        <v>13</v>
      </c>
      <c r="H7" s="46" t="s">
        <v>14</v>
      </c>
    </row>
    <row r="8" spans="1:9" ht="15.75" customHeight="1"/>
    <row r="9" spans="1:9" ht="15.75" customHeight="1"/>
    <row r="10" spans="1:9" ht="15.75" customHeight="1"/>
    <row r="11" spans="1:9" ht="15.75" customHeight="1"/>
    <row r="12" spans="1:9" ht="15.75" customHeight="1"/>
    <row r="13" spans="1:9" ht="15.75" customHeight="1"/>
    <row r="14" spans="1:9" ht="15.75" customHeight="1"/>
    <row r="15" spans="1:9" ht="15.75" customHeight="1"/>
    <row r="16" spans="1:9"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J1007"/>
  <sheetViews>
    <sheetView topLeftCell="A37" workbookViewId="0">
      <selection activeCell="A47" sqref="A47"/>
    </sheetView>
  </sheetViews>
  <sheetFormatPr defaultColWidth="12.7109375" defaultRowHeight="15" customHeight="1"/>
  <cols>
    <col min="1" max="2" width="12.42578125" customWidth="1"/>
    <col min="3" max="3" width="79.42578125" customWidth="1"/>
    <col min="4" max="4" width="18.85546875" customWidth="1"/>
    <col min="5" max="5" width="26.28515625" customWidth="1"/>
    <col min="6" max="6" width="56.140625" customWidth="1"/>
    <col min="7" max="7" width="30.28515625" customWidth="1"/>
    <col min="8" max="26" width="12.42578125" customWidth="1"/>
  </cols>
  <sheetData>
    <row r="1" spans="1:10" ht="15.75" customHeight="1"/>
    <row r="2" spans="1:10" ht="15.75" customHeight="1">
      <c r="A2" s="41" t="s">
        <v>38</v>
      </c>
      <c r="B2" s="41"/>
      <c r="C2" s="41"/>
      <c r="D2" s="41"/>
      <c r="E2" s="41"/>
      <c r="F2" s="41"/>
      <c r="G2" s="41"/>
      <c r="H2" s="41"/>
      <c r="I2" s="41"/>
      <c r="J2" s="41"/>
    </row>
    <row r="3" spans="1:10" ht="15.75" customHeight="1">
      <c r="B3" s="1" t="s">
        <v>39</v>
      </c>
      <c r="C3" s="1" t="s">
        <v>1</v>
      </c>
      <c r="D3" s="1" t="s">
        <v>2</v>
      </c>
      <c r="E3" s="1" t="s">
        <v>40</v>
      </c>
      <c r="F3" s="1" t="s">
        <v>41</v>
      </c>
      <c r="G3" s="1" t="s">
        <v>5</v>
      </c>
      <c r="H3" s="1" t="s">
        <v>42</v>
      </c>
      <c r="I3" s="1" t="s">
        <v>43</v>
      </c>
    </row>
    <row r="4" spans="1:10" ht="33" customHeight="1">
      <c r="B4" s="12" t="s">
        <v>44</v>
      </c>
      <c r="C4" s="12" t="s">
        <v>45</v>
      </c>
      <c r="D4" s="12" t="s">
        <v>46</v>
      </c>
      <c r="E4" s="13" t="s">
        <v>47</v>
      </c>
      <c r="F4" s="14" t="s">
        <v>48</v>
      </c>
      <c r="G4" s="12" t="s">
        <v>49</v>
      </c>
      <c r="H4" s="12" t="s">
        <v>50</v>
      </c>
      <c r="I4" s="12" t="s">
        <v>51</v>
      </c>
    </row>
    <row r="5" spans="1:10" ht="15.75" customHeight="1">
      <c r="B5" s="3"/>
      <c r="C5" s="6" t="s">
        <v>52</v>
      </c>
      <c r="D5" s="3"/>
      <c r="E5" s="3"/>
      <c r="F5" s="3"/>
      <c r="G5" s="6" t="s">
        <v>53</v>
      </c>
      <c r="H5" s="3"/>
      <c r="I5" s="6" t="s">
        <v>54</v>
      </c>
    </row>
    <row r="6" spans="1:10" ht="15.75" customHeight="1">
      <c r="B6" s="2" t="s">
        <v>55</v>
      </c>
      <c r="C6" s="63" t="s">
        <v>56</v>
      </c>
      <c r="D6" s="64"/>
      <c r="E6" s="64"/>
      <c r="F6" s="64"/>
      <c r="G6" s="3" t="s">
        <v>57</v>
      </c>
      <c r="H6" s="3"/>
      <c r="I6" s="7">
        <v>2</v>
      </c>
    </row>
    <row r="7" spans="1:10" ht="15.75" customHeight="1">
      <c r="B7" s="2" t="s">
        <v>58</v>
      </c>
      <c r="C7" s="65" t="s">
        <v>59</v>
      </c>
      <c r="D7" s="64"/>
      <c r="E7" s="64"/>
      <c r="F7" s="64"/>
      <c r="G7" s="3" t="s">
        <v>57</v>
      </c>
      <c r="H7" s="3"/>
      <c r="I7" s="7">
        <v>2</v>
      </c>
    </row>
    <row r="8" spans="1:10" ht="15.75" customHeight="1">
      <c r="B8" s="2" t="s">
        <v>60</v>
      </c>
      <c r="C8" s="66" t="s">
        <v>61</v>
      </c>
      <c r="D8" s="64"/>
      <c r="E8" s="64"/>
      <c r="F8" s="64"/>
      <c r="G8" s="3" t="s">
        <v>57</v>
      </c>
      <c r="H8" s="3"/>
      <c r="I8" s="3">
        <v>1</v>
      </c>
    </row>
    <row r="9" spans="1:10" ht="15.75" customHeight="1">
      <c r="H9" s="25" t="s">
        <v>62</v>
      </c>
      <c r="I9">
        <f>SUM(I6:I8)</f>
        <v>5</v>
      </c>
    </row>
    <row r="10" spans="1:10" ht="15.75" customHeight="1">
      <c r="B10" s="1" t="s">
        <v>39</v>
      </c>
      <c r="C10" s="1" t="s">
        <v>1</v>
      </c>
      <c r="D10" s="1" t="s">
        <v>2</v>
      </c>
      <c r="E10" s="1" t="s">
        <v>40</v>
      </c>
      <c r="F10" s="1" t="s">
        <v>41</v>
      </c>
      <c r="G10" s="1" t="s">
        <v>5</v>
      </c>
      <c r="H10" s="1" t="s">
        <v>42</v>
      </c>
      <c r="I10" s="1" t="s">
        <v>43</v>
      </c>
    </row>
    <row r="11" spans="1:10" ht="27" customHeight="1">
      <c r="B11" s="5" t="s">
        <v>63</v>
      </c>
      <c r="C11" s="5" t="s">
        <v>64</v>
      </c>
      <c r="D11" s="5" t="s">
        <v>65</v>
      </c>
      <c r="E11" s="5" t="s">
        <v>66</v>
      </c>
      <c r="F11" s="28" t="s">
        <v>67</v>
      </c>
      <c r="G11" s="5" t="s">
        <v>68</v>
      </c>
      <c r="H11" s="5" t="s">
        <v>13</v>
      </c>
      <c r="I11" s="5" t="s">
        <v>51</v>
      </c>
    </row>
    <row r="12" spans="1:10" ht="15.75" customHeight="1">
      <c r="B12" s="3"/>
      <c r="C12" s="6" t="s">
        <v>52</v>
      </c>
      <c r="D12" s="3"/>
      <c r="E12" s="3"/>
      <c r="F12" s="3"/>
      <c r="G12" s="6" t="s">
        <v>53</v>
      </c>
      <c r="H12" s="3"/>
      <c r="I12" s="6" t="s">
        <v>54</v>
      </c>
    </row>
    <row r="13" spans="1:10" ht="15.75" customHeight="1">
      <c r="B13" s="3" t="s">
        <v>69</v>
      </c>
      <c r="C13" s="3" t="s">
        <v>70</v>
      </c>
      <c r="G13" s="3" t="s">
        <v>57</v>
      </c>
      <c r="H13" s="3"/>
      <c r="I13" s="8">
        <v>2</v>
      </c>
    </row>
    <row r="14" spans="1:10" ht="15.75" customHeight="1">
      <c r="B14" s="3" t="s">
        <v>71</v>
      </c>
      <c r="C14" s="3" t="s">
        <v>72</v>
      </c>
      <c r="G14" s="3" t="s">
        <v>57</v>
      </c>
      <c r="H14" s="3"/>
      <c r="I14" s="8">
        <v>2</v>
      </c>
    </row>
    <row r="15" spans="1:10" ht="15.75" customHeight="1">
      <c r="B15" s="3" t="s">
        <v>73</v>
      </c>
      <c r="C15" s="3" t="s">
        <v>74</v>
      </c>
      <c r="G15" s="3" t="s">
        <v>57</v>
      </c>
      <c r="H15" s="3"/>
      <c r="I15" s="3">
        <v>1</v>
      </c>
    </row>
    <row r="16" spans="1:10" ht="15.75" customHeight="1">
      <c r="B16" s="1"/>
      <c r="C16" s="1"/>
      <c r="D16" s="1"/>
      <c r="E16" s="1"/>
      <c r="F16" s="1"/>
      <c r="G16" s="3"/>
      <c r="H16" s="26" t="s">
        <v>62</v>
      </c>
      <c r="I16" s="27">
        <f>SUM(I13:I15)</f>
        <v>5</v>
      </c>
    </row>
    <row r="17" spans="1:10" ht="15.75" customHeight="1">
      <c r="B17" s="1" t="s">
        <v>39</v>
      </c>
      <c r="C17" s="1" t="s">
        <v>1</v>
      </c>
      <c r="D17" s="1" t="s">
        <v>2</v>
      </c>
      <c r="E17" s="1" t="s">
        <v>40</v>
      </c>
      <c r="F17" s="1" t="s">
        <v>41</v>
      </c>
      <c r="G17" s="1" t="s">
        <v>5</v>
      </c>
      <c r="H17" s="1" t="s">
        <v>42</v>
      </c>
      <c r="I17" s="1" t="s">
        <v>43</v>
      </c>
    </row>
    <row r="18" spans="1:10" ht="24" customHeight="1">
      <c r="B18" s="5" t="s">
        <v>75</v>
      </c>
      <c r="C18" s="20" t="s">
        <v>76</v>
      </c>
      <c r="D18" s="21" t="s">
        <v>17</v>
      </c>
      <c r="E18" s="22" t="s">
        <v>77</v>
      </c>
      <c r="F18" s="23" t="s">
        <v>78</v>
      </c>
      <c r="G18" s="21"/>
      <c r="H18" s="20" t="s">
        <v>13</v>
      </c>
      <c r="I18" s="24" t="s">
        <v>51</v>
      </c>
    </row>
    <row r="19" spans="1:10" ht="15.75" customHeight="1">
      <c r="C19" s="6" t="s">
        <v>52</v>
      </c>
      <c r="G19" s="6" t="s">
        <v>53</v>
      </c>
      <c r="I19" s="4" t="s">
        <v>54</v>
      </c>
    </row>
    <row r="20" spans="1:10" ht="15.75" customHeight="1">
      <c r="B20" s="4" t="s">
        <v>79</v>
      </c>
      <c r="C20" s="4" t="s">
        <v>80</v>
      </c>
      <c r="G20" s="4" t="s">
        <v>81</v>
      </c>
      <c r="I20" s="9">
        <v>1</v>
      </c>
    </row>
    <row r="21" spans="1:10" ht="15.75" customHeight="1">
      <c r="B21" s="4" t="s">
        <v>82</v>
      </c>
      <c r="C21" s="4" t="s">
        <v>83</v>
      </c>
      <c r="G21" s="4" t="s">
        <v>81</v>
      </c>
      <c r="I21" s="9">
        <v>1</v>
      </c>
    </row>
    <row r="22" spans="1:10" ht="15.75" customHeight="1">
      <c r="B22" s="4" t="s">
        <v>84</v>
      </c>
      <c r="C22" s="4" t="s">
        <v>85</v>
      </c>
      <c r="G22" s="4" t="s">
        <v>81</v>
      </c>
      <c r="I22" s="9">
        <v>3</v>
      </c>
    </row>
    <row r="23" spans="1:10" ht="15.75" customHeight="1">
      <c r="H23" s="25" t="s">
        <v>62</v>
      </c>
      <c r="I23">
        <f>SUM(I20:I22)</f>
        <v>5</v>
      </c>
    </row>
    <row r="24" spans="1:10" ht="15.75" customHeight="1"/>
    <row r="25" spans="1:10" ht="15" customHeight="1">
      <c r="A25" s="41" t="s">
        <v>86</v>
      </c>
      <c r="B25" s="41"/>
      <c r="C25" s="41"/>
      <c r="D25" s="41"/>
      <c r="E25" s="41"/>
      <c r="F25" s="41"/>
      <c r="G25" s="41"/>
      <c r="H25" s="41"/>
      <c r="I25" s="41"/>
      <c r="J25" s="41"/>
    </row>
    <row r="26" spans="1:10" ht="15.75" customHeight="1">
      <c r="B26" s="1" t="s">
        <v>39</v>
      </c>
      <c r="C26" s="1" t="s">
        <v>1</v>
      </c>
      <c r="D26" s="1" t="s">
        <v>2</v>
      </c>
      <c r="E26" s="1" t="s">
        <v>40</v>
      </c>
      <c r="F26" s="1" t="s">
        <v>41</v>
      </c>
      <c r="G26" s="1" t="s">
        <v>5</v>
      </c>
      <c r="H26" s="1" t="s">
        <v>42</v>
      </c>
      <c r="I26" s="1" t="s">
        <v>43</v>
      </c>
    </row>
    <row r="27" spans="1:10" ht="15.75" customHeight="1">
      <c r="B27" s="29" t="s">
        <v>87</v>
      </c>
      <c r="C27" s="20" t="s">
        <v>88</v>
      </c>
      <c r="D27" s="33" t="s">
        <v>89</v>
      </c>
      <c r="E27" s="30" t="s">
        <v>90</v>
      </c>
      <c r="F27" s="23" t="s">
        <v>91</v>
      </c>
      <c r="G27" s="21"/>
      <c r="H27" s="20" t="s">
        <v>13</v>
      </c>
      <c r="I27" s="24" t="s">
        <v>51</v>
      </c>
    </row>
    <row r="28" spans="1:10" ht="15.75" customHeight="1">
      <c r="C28" s="6" t="s">
        <v>52</v>
      </c>
      <c r="G28" s="6" t="s">
        <v>53</v>
      </c>
      <c r="I28" s="4" t="s">
        <v>54</v>
      </c>
    </row>
    <row r="29" spans="1:10" ht="15.75" customHeight="1">
      <c r="B29" s="4" t="s">
        <v>92</v>
      </c>
      <c r="C29" s="4" t="s">
        <v>93</v>
      </c>
      <c r="G29" s="4" t="s">
        <v>81</v>
      </c>
      <c r="I29" s="9">
        <v>2</v>
      </c>
    </row>
    <row r="30" spans="1:10" ht="15.75" customHeight="1">
      <c r="B30" s="4" t="s">
        <v>94</v>
      </c>
      <c r="C30" s="4" t="s">
        <v>95</v>
      </c>
      <c r="G30" s="4" t="s">
        <v>81</v>
      </c>
      <c r="I30" s="9">
        <v>2</v>
      </c>
    </row>
    <row r="31" spans="1:10" ht="15.75" customHeight="1">
      <c r="B31" s="4" t="s">
        <v>96</v>
      </c>
      <c r="C31" s="4" t="s">
        <v>97</v>
      </c>
      <c r="G31" s="4" t="s">
        <v>81</v>
      </c>
      <c r="I31" s="9">
        <v>2</v>
      </c>
    </row>
    <row r="32" spans="1:10" ht="15.75" customHeight="1">
      <c r="B32" s="4" t="s">
        <v>98</v>
      </c>
      <c r="C32" t="s">
        <v>99</v>
      </c>
      <c r="G32" s="4" t="s">
        <v>81</v>
      </c>
      <c r="I32">
        <v>3</v>
      </c>
    </row>
    <row r="33" spans="1:10" ht="30.75" customHeight="1">
      <c r="H33" s="25" t="s">
        <v>62</v>
      </c>
      <c r="I33">
        <f>SUM(I29:I32)</f>
        <v>9</v>
      </c>
    </row>
    <row r="34" spans="1:10" ht="15.75" customHeight="1">
      <c r="B34" s="1" t="s">
        <v>39</v>
      </c>
      <c r="C34" s="1" t="s">
        <v>1</v>
      </c>
      <c r="D34" s="1" t="s">
        <v>2</v>
      </c>
      <c r="E34" s="1" t="s">
        <v>40</v>
      </c>
      <c r="F34" s="1" t="s">
        <v>41</v>
      </c>
      <c r="G34" s="1" t="s">
        <v>5</v>
      </c>
      <c r="H34" s="1" t="s">
        <v>42</v>
      </c>
      <c r="I34" s="1" t="s">
        <v>43</v>
      </c>
    </row>
    <row r="35" spans="1:10" ht="15.75" customHeight="1">
      <c r="B35" s="29" t="s">
        <v>100</v>
      </c>
      <c r="C35" s="20" t="s">
        <v>101</v>
      </c>
      <c r="D35" s="33" t="s">
        <v>17</v>
      </c>
      <c r="E35" s="30" t="s">
        <v>102</v>
      </c>
      <c r="F35" s="23" t="s">
        <v>103</v>
      </c>
      <c r="G35" s="21"/>
      <c r="H35" s="20" t="s">
        <v>13</v>
      </c>
      <c r="I35" s="24" t="s">
        <v>51</v>
      </c>
    </row>
    <row r="36" spans="1:10" ht="15.75" customHeight="1">
      <c r="C36" s="6" t="s">
        <v>52</v>
      </c>
      <c r="G36" s="6" t="s">
        <v>53</v>
      </c>
      <c r="I36" s="4" t="s">
        <v>54</v>
      </c>
    </row>
    <row r="37" spans="1:10" ht="15.75" customHeight="1">
      <c r="B37" s="4" t="s">
        <v>104</v>
      </c>
      <c r="C37" s="4" t="s">
        <v>105</v>
      </c>
      <c r="G37" s="4" t="s">
        <v>106</v>
      </c>
      <c r="I37" s="9">
        <v>2</v>
      </c>
    </row>
    <row r="38" spans="1:10" ht="15.75" customHeight="1">
      <c r="B38" s="4" t="s">
        <v>107</v>
      </c>
      <c r="C38" s="4" t="s">
        <v>108</v>
      </c>
      <c r="G38" s="4" t="s">
        <v>106</v>
      </c>
      <c r="I38" s="9">
        <v>2</v>
      </c>
    </row>
    <row r="39" spans="1:10" ht="15.75" customHeight="1">
      <c r="B39" s="4" t="s">
        <v>109</v>
      </c>
      <c r="C39" t="s">
        <v>110</v>
      </c>
      <c r="G39" s="4" t="s">
        <v>106</v>
      </c>
      <c r="I39" s="9">
        <v>4</v>
      </c>
    </row>
    <row r="40" spans="1:10" ht="15.75" customHeight="1">
      <c r="B40" s="4" t="s">
        <v>111</v>
      </c>
      <c r="C40" t="s">
        <v>112</v>
      </c>
      <c r="G40" s="4" t="s">
        <v>106</v>
      </c>
      <c r="I40">
        <v>4</v>
      </c>
    </row>
    <row r="41" spans="1:10" ht="15.75" customHeight="1">
      <c r="H41" s="25" t="s">
        <v>62</v>
      </c>
      <c r="I41">
        <f>SUM(I37:I40)</f>
        <v>12</v>
      </c>
    </row>
    <row r="42" spans="1:10" ht="15.75" customHeight="1"/>
    <row r="43" spans="1:10" ht="15.75" customHeight="1">
      <c r="A43" s="41" t="s">
        <v>113</v>
      </c>
      <c r="B43" s="41"/>
      <c r="C43" s="41"/>
      <c r="D43" s="41"/>
      <c r="E43" s="41"/>
      <c r="F43" s="41"/>
      <c r="G43" s="41"/>
      <c r="H43" s="41"/>
      <c r="I43" s="41"/>
      <c r="J43" s="41"/>
    </row>
    <row r="44" spans="1:10" ht="15.75" customHeight="1">
      <c r="B44" s="1" t="s">
        <v>39</v>
      </c>
      <c r="C44" s="1" t="s">
        <v>1</v>
      </c>
      <c r="D44" s="1" t="s">
        <v>2</v>
      </c>
      <c r="E44" s="1" t="s">
        <v>40</v>
      </c>
      <c r="F44" s="1" t="s">
        <v>41</v>
      </c>
      <c r="G44" s="1" t="s">
        <v>5</v>
      </c>
      <c r="H44" s="1" t="s">
        <v>42</v>
      </c>
      <c r="I44" s="1" t="s">
        <v>43</v>
      </c>
    </row>
    <row r="45" spans="1:10" ht="15.75" customHeight="1">
      <c r="B45" s="29" t="s">
        <v>114</v>
      </c>
      <c r="C45" s="20" t="s">
        <v>115</v>
      </c>
      <c r="D45" s="33" t="s">
        <v>17</v>
      </c>
      <c r="E45" s="30" t="s">
        <v>116</v>
      </c>
      <c r="F45" s="23" t="s">
        <v>117</v>
      </c>
      <c r="G45" s="21"/>
      <c r="H45" s="20" t="s">
        <v>13</v>
      </c>
      <c r="I45" s="24" t="s">
        <v>51</v>
      </c>
    </row>
    <row r="46" spans="1:10" ht="15.75" customHeight="1">
      <c r="C46" s="6" t="s">
        <v>52</v>
      </c>
      <c r="G46" s="6" t="s">
        <v>53</v>
      </c>
      <c r="I46" s="4" t="s">
        <v>54</v>
      </c>
    </row>
    <row r="47" spans="1:10" ht="15.75" customHeight="1">
      <c r="B47" s="4" t="s">
        <v>118</v>
      </c>
      <c r="C47" s="40" t="s">
        <v>119</v>
      </c>
      <c r="G47" s="4" t="s">
        <v>120</v>
      </c>
      <c r="I47" s="9">
        <v>4</v>
      </c>
    </row>
    <row r="48" spans="1:10" ht="15.75" customHeight="1">
      <c r="B48" s="4" t="s">
        <v>121</v>
      </c>
      <c r="C48" s="40" t="s">
        <v>122</v>
      </c>
      <c r="G48" s="4" t="s">
        <v>120</v>
      </c>
      <c r="I48" s="9">
        <v>3</v>
      </c>
    </row>
    <row r="49" spans="2:9" ht="15.75" customHeight="1">
      <c r="B49" s="4"/>
      <c r="G49" s="4"/>
      <c r="I49" s="9"/>
    </row>
    <row r="50" spans="2:9" ht="15.75" customHeight="1">
      <c r="B50" s="4"/>
      <c r="G50" s="4"/>
    </row>
    <row r="51" spans="2:9" ht="15.75" customHeight="1">
      <c r="H51" s="25" t="s">
        <v>62</v>
      </c>
      <c r="I51">
        <f>SUM(I47:I50)</f>
        <v>7</v>
      </c>
    </row>
    <row r="52" spans="2:9" ht="15.75" customHeight="1">
      <c r="H52" s="25"/>
    </row>
    <row r="53" spans="2:9" ht="15.75" customHeight="1">
      <c r="B53" s="1" t="s">
        <v>39</v>
      </c>
      <c r="C53" s="1" t="s">
        <v>1</v>
      </c>
      <c r="D53" s="1" t="s">
        <v>2</v>
      </c>
      <c r="E53" s="1" t="s">
        <v>40</v>
      </c>
      <c r="F53" s="1" t="s">
        <v>41</v>
      </c>
      <c r="G53" s="1" t="s">
        <v>5</v>
      </c>
      <c r="H53" s="1" t="s">
        <v>42</v>
      </c>
      <c r="I53" s="1" t="s">
        <v>43</v>
      </c>
    </row>
    <row r="54" spans="2:9" ht="15.75" customHeight="1">
      <c r="B54" s="29" t="s">
        <v>123</v>
      </c>
      <c r="C54" s="20" t="s">
        <v>124</v>
      </c>
      <c r="D54" s="33" t="s">
        <v>17</v>
      </c>
      <c r="E54" s="30" t="s">
        <v>125</v>
      </c>
      <c r="F54" s="23" t="s">
        <v>126</v>
      </c>
      <c r="G54" s="21"/>
      <c r="H54" s="20" t="s">
        <v>127</v>
      </c>
      <c r="I54" s="24" t="s">
        <v>51</v>
      </c>
    </row>
    <row r="55" spans="2:9" ht="15.75" customHeight="1">
      <c r="C55" s="6" t="s">
        <v>52</v>
      </c>
      <c r="G55" s="6" t="s">
        <v>53</v>
      </c>
      <c r="I55" s="4" t="s">
        <v>54</v>
      </c>
    </row>
    <row r="56" spans="2:9" ht="15.75" customHeight="1">
      <c r="B56" s="4" t="s">
        <v>128</v>
      </c>
      <c r="C56" s="4" t="s">
        <v>129</v>
      </c>
      <c r="G56" s="4" t="s">
        <v>120</v>
      </c>
      <c r="I56" s="9">
        <v>3</v>
      </c>
    </row>
    <row r="57" spans="2:9" ht="15.75" customHeight="1">
      <c r="B57" s="4" t="s">
        <v>130</v>
      </c>
      <c r="C57" s="4" t="s">
        <v>131</v>
      </c>
      <c r="G57" s="4" t="s">
        <v>120</v>
      </c>
      <c r="I57" s="9">
        <v>3</v>
      </c>
    </row>
    <row r="58" spans="2:9" ht="15.75" customHeight="1">
      <c r="B58" s="4" t="s">
        <v>132</v>
      </c>
      <c r="C58" s="40" t="s">
        <v>133</v>
      </c>
      <c r="G58" s="4" t="s">
        <v>120</v>
      </c>
      <c r="I58" s="9">
        <v>2</v>
      </c>
    </row>
    <row r="59" spans="2:9" ht="15.75" customHeight="1">
      <c r="B59" s="4" t="s">
        <v>134</v>
      </c>
      <c r="C59" s="40" t="s">
        <v>135</v>
      </c>
      <c r="G59" s="4" t="s">
        <v>120</v>
      </c>
      <c r="I59">
        <v>2</v>
      </c>
    </row>
    <row r="60" spans="2:9" ht="15.75" customHeight="1">
      <c r="B60" t="s">
        <v>136</v>
      </c>
      <c r="C60" t="s">
        <v>137</v>
      </c>
      <c r="G60" s="4" t="s">
        <v>120</v>
      </c>
      <c r="I60">
        <v>3</v>
      </c>
    </row>
    <row r="61" spans="2:9" ht="15.75" customHeight="1">
      <c r="H61" s="25" t="s">
        <v>62</v>
      </c>
      <c r="I61">
        <f>SUM(I56:I59)</f>
        <v>10</v>
      </c>
    </row>
    <row r="62" spans="2:9" ht="15.75" customHeight="1">
      <c r="H62" s="25"/>
    </row>
    <row r="63" spans="2:9" ht="15.75" customHeight="1">
      <c r="H63" s="25"/>
    </row>
    <row r="64" spans="2:9" ht="15.75" customHeight="1"/>
    <row r="65" spans="8:9" ht="15.75" customHeight="1">
      <c r="H65" s="25" t="s">
        <v>138</v>
      </c>
      <c r="I65">
        <f>I9+I16+I23+I33+I41</f>
        <v>36</v>
      </c>
    </row>
    <row r="66" spans="8:9" ht="15.75" customHeight="1"/>
    <row r="67" spans="8:9" ht="15.75" customHeight="1"/>
    <row r="68" spans="8:9" ht="15.75" customHeight="1"/>
    <row r="69" spans="8:9" ht="15.75" customHeight="1"/>
    <row r="70" spans="8:9" ht="15.75" customHeight="1"/>
    <row r="71" spans="8:9" ht="15.75" customHeight="1"/>
    <row r="72" spans="8:9" ht="15.75" customHeight="1"/>
    <row r="73" spans="8:9" ht="15.75" customHeight="1"/>
    <row r="74" spans="8:9" ht="15.75" customHeight="1"/>
    <row r="75" spans="8:9" ht="15.75" customHeight="1"/>
    <row r="76" spans="8:9" ht="15.75" customHeight="1"/>
    <row r="77" spans="8:9" ht="15.75" customHeight="1"/>
    <row r="78" spans="8:9" ht="15.75" customHeight="1"/>
    <row r="79" spans="8:9" ht="15.75" customHeight="1"/>
    <row r="80" spans="8:9"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sheetData>
  <mergeCells count="3">
    <mergeCell ref="C6:F6"/>
    <mergeCell ref="C7:F7"/>
    <mergeCell ref="C8:F8"/>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L1024"/>
  <sheetViews>
    <sheetView topLeftCell="A4" workbookViewId="0">
      <selection activeCell="K56" sqref="K56"/>
    </sheetView>
  </sheetViews>
  <sheetFormatPr defaultColWidth="12.7109375" defaultRowHeight="15" customHeight="1"/>
  <cols>
    <col min="1" max="1" width="12.42578125" customWidth="1"/>
    <col min="2" max="2" width="25.85546875" customWidth="1"/>
    <col min="3" max="3" width="11.42578125" customWidth="1"/>
    <col min="4" max="27" width="12.42578125" customWidth="1"/>
  </cols>
  <sheetData>
    <row r="1" spans="1:10" ht="15.75" customHeight="1"/>
    <row r="2" spans="1:10" ht="15.75" customHeight="1"/>
    <row r="3" spans="1:10" ht="15.75" customHeight="1">
      <c r="B3" s="3"/>
      <c r="C3" s="3" t="s">
        <v>54</v>
      </c>
      <c r="D3" s="3" t="s">
        <v>139</v>
      </c>
      <c r="E3" s="3" t="s">
        <v>140</v>
      </c>
      <c r="F3" s="3" t="s">
        <v>141</v>
      </c>
      <c r="G3" s="3" t="s">
        <v>142</v>
      </c>
      <c r="H3" s="3" t="s">
        <v>143</v>
      </c>
      <c r="I3" s="3" t="s">
        <v>144</v>
      </c>
      <c r="J3" s="3" t="s">
        <v>145</v>
      </c>
    </row>
    <row r="4" spans="1:10" ht="15" customHeight="1">
      <c r="B4" s="15" t="s">
        <v>55</v>
      </c>
      <c r="C4" s="16">
        <v>2</v>
      </c>
      <c r="D4" s="8">
        <v>1</v>
      </c>
      <c r="E4" s="8">
        <v>1</v>
      </c>
      <c r="F4" s="8">
        <v>1</v>
      </c>
      <c r="G4" s="8">
        <v>0</v>
      </c>
      <c r="H4" s="8">
        <v>0</v>
      </c>
      <c r="I4">
        <v>0</v>
      </c>
      <c r="J4" s="10">
        <f t="shared" ref="J4:J12" si="0">SUM(D4:H4)</f>
        <v>3</v>
      </c>
    </row>
    <row r="5" spans="1:10" ht="14.25" customHeight="1">
      <c r="B5" s="15" t="s">
        <v>58</v>
      </c>
      <c r="C5" s="16">
        <v>2</v>
      </c>
      <c r="D5" s="8">
        <v>0</v>
      </c>
      <c r="E5" s="8">
        <v>1</v>
      </c>
      <c r="F5" s="8">
        <v>0</v>
      </c>
      <c r="G5" s="8">
        <v>1</v>
      </c>
      <c r="H5" s="8">
        <v>0</v>
      </c>
      <c r="I5">
        <v>0</v>
      </c>
      <c r="J5" s="10">
        <f t="shared" si="0"/>
        <v>2</v>
      </c>
    </row>
    <row r="6" spans="1:10" ht="15" customHeight="1">
      <c r="B6" s="15" t="s">
        <v>60</v>
      </c>
      <c r="C6" s="17">
        <v>1</v>
      </c>
      <c r="D6" s="8">
        <v>0</v>
      </c>
      <c r="E6" s="8">
        <v>1</v>
      </c>
      <c r="F6" s="8">
        <v>0</v>
      </c>
      <c r="G6" s="8">
        <v>0</v>
      </c>
      <c r="H6" s="8">
        <v>0</v>
      </c>
      <c r="I6">
        <v>0</v>
      </c>
      <c r="J6" s="10">
        <f t="shared" si="0"/>
        <v>1</v>
      </c>
    </row>
    <row r="7" spans="1:10" ht="15.75" customHeight="1">
      <c r="B7" s="3" t="s">
        <v>69</v>
      </c>
      <c r="C7" s="18">
        <v>2</v>
      </c>
      <c r="D7" s="8">
        <v>0</v>
      </c>
      <c r="E7" s="8">
        <v>1</v>
      </c>
      <c r="F7" s="8">
        <v>0</v>
      </c>
      <c r="G7" s="8">
        <v>1</v>
      </c>
      <c r="H7" s="8">
        <v>0</v>
      </c>
      <c r="I7">
        <v>0</v>
      </c>
      <c r="J7" s="10">
        <f t="shared" si="0"/>
        <v>2</v>
      </c>
    </row>
    <row r="8" spans="1:10" ht="14.25" customHeight="1">
      <c r="B8" s="3" t="s">
        <v>71</v>
      </c>
      <c r="C8" s="18">
        <v>2</v>
      </c>
      <c r="D8" s="8">
        <v>1</v>
      </c>
      <c r="E8" s="8">
        <v>0</v>
      </c>
      <c r="F8" s="8">
        <v>1</v>
      </c>
      <c r="G8" s="8">
        <v>0</v>
      </c>
      <c r="H8" s="8">
        <v>0</v>
      </c>
      <c r="I8">
        <v>0</v>
      </c>
      <c r="J8" s="10">
        <f t="shared" si="0"/>
        <v>2</v>
      </c>
    </row>
    <row r="9" spans="1:10" ht="15.75" customHeight="1">
      <c r="B9" s="3" t="s">
        <v>73</v>
      </c>
      <c r="C9" s="19">
        <v>1</v>
      </c>
      <c r="D9" s="8">
        <v>0</v>
      </c>
      <c r="E9" s="8">
        <v>1</v>
      </c>
      <c r="F9" s="8">
        <v>0</v>
      </c>
      <c r="G9" s="8">
        <v>0</v>
      </c>
      <c r="H9" s="8">
        <v>0</v>
      </c>
      <c r="I9">
        <v>0</v>
      </c>
      <c r="J9" s="10">
        <f t="shared" si="0"/>
        <v>1</v>
      </c>
    </row>
    <row r="10" spans="1:10" ht="15.75" customHeight="1">
      <c r="B10" s="4" t="s">
        <v>79</v>
      </c>
      <c r="C10" s="19">
        <v>1</v>
      </c>
      <c r="D10" s="8">
        <v>0</v>
      </c>
      <c r="E10" s="8">
        <v>0</v>
      </c>
      <c r="F10" s="8">
        <v>0</v>
      </c>
      <c r="G10" s="8">
        <v>1</v>
      </c>
      <c r="H10" s="8">
        <v>0</v>
      </c>
      <c r="I10">
        <v>0</v>
      </c>
      <c r="J10" s="10">
        <f t="shared" si="0"/>
        <v>1</v>
      </c>
    </row>
    <row r="11" spans="1:10" ht="15.75" customHeight="1">
      <c r="B11" s="4" t="s">
        <v>82</v>
      </c>
      <c r="C11" s="19">
        <v>1</v>
      </c>
      <c r="D11" s="8">
        <v>0</v>
      </c>
      <c r="E11" s="8">
        <v>0</v>
      </c>
      <c r="F11" s="8">
        <v>0</v>
      </c>
      <c r="G11" s="8">
        <v>1</v>
      </c>
      <c r="H11" s="8">
        <v>0</v>
      </c>
      <c r="I11">
        <v>0</v>
      </c>
      <c r="J11" s="10">
        <f t="shared" si="0"/>
        <v>1</v>
      </c>
    </row>
    <row r="12" spans="1:10" ht="15.75" customHeight="1">
      <c r="B12" s="4" t="s">
        <v>84</v>
      </c>
      <c r="C12" s="19">
        <v>3</v>
      </c>
      <c r="D12" s="8">
        <v>1</v>
      </c>
      <c r="E12" s="8">
        <v>0</v>
      </c>
      <c r="F12" s="8">
        <v>2</v>
      </c>
      <c r="G12" s="8">
        <v>0</v>
      </c>
      <c r="H12" s="8">
        <v>0</v>
      </c>
      <c r="I12">
        <v>0</v>
      </c>
      <c r="J12" s="38">
        <f t="shared" si="0"/>
        <v>3</v>
      </c>
    </row>
    <row r="13" spans="1:10" ht="15.75" customHeight="1">
      <c r="A13" s="3"/>
      <c r="B13" s="4" t="s">
        <v>92</v>
      </c>
      <c r="C13" s="34">
        <v>2</v>
      </c>
      <c r="D13">
        <v>0</v>
      </c>
      <c r="E13" s="9">
        <v>1</v>
      </c>
      <c r="F13" s="8">
        <v>1</v>
      </c>
      <c r="G13" s="8">
        <v>0</v>
      </c>
      <c r="H13" s="8">
        <v>0</v>
      </c>
      <c r="I13" s="8">
        <v>0</v>
      </c>
      <c r="J13" s="10">
        <f>SUM(E13:I13)</f>
        <v>2</v>
      </c>
    </row>
    <row r="14" spans="1:10" ht="15.75" customHeight="1">
      <c r="A14" s="3"/>
      <c r="B14" s="4" t="s">
        <v>94</v>
      </c>
      <c r="C14" s="34">
        <v>2</v>
      </c>
      <c r="D14">
        <v>0</v>
      </c>
      <c r="E14" s="9">
        <v>1</v>
      </c>
      <c r="F14" s="8">
        <v>1</v>
      </c>
      <c r="G14" s="8">
        <v>0</v>
      </c>
      <c r="H14" s="8">
        <v>0</v>
      </c>
      <c r="I14" s="8">
        <v>0</v>
      </c>
      <c r="J14" s="10">
        <f>SUM(E14:I14)</f>
        <v>2</v>
      </c>
    </row>
    <row r="15" spans="1:10" ht="15.75" customHeight="1">
      <c r="A15" s="3"/>
      <c r="B15" s="4" t="s">
        <v>96</v>
      </c>
      <c r="C15" s="34">
        <v>2</v>
      </c>
      <c r="D15" s="9">
        <v>0</v>
      </c>
      <c r="E15" s="8">
        <v>0</v>
      </c>
      <c r="F15" s="8">
        <v>1</v>
      </c>
      <c r="G15" s="8">
        <v>1</v>
      </c>
      <c r="H15" s="8"/>
      <c r="I15" s="8">
        <v>0</v>
      </c>
      <c r="J15" s="10">
        <f t="shared" ref="J15:J20" si="1">SUM(D15:I15)</f>
        <v>2</v>
      </c>
    </row>
    <row r="16" spans="1:10" ht="15.75" customHeight="1">
      <c r="A16" s="3"/>
      <c r="B16" s="4" t="s">
        <v>98</v>
      </c>
      <c r="C16" s="35">
        <v>3</v>
      </c>
      <c r="D16">
        <v>0</v>
      </c>
      <c r="E16">
        <v>0</v>
      </c>
      <c r="F16">
        <v>0</v>
      </c>
      <c r="G16">
        <v>1</v>
      </c>
      <c r="H16">
        <v>1</v>
      </c>
      <c r="I16">
        <v>1</v>
      </c>
      <c r="J16" s="10">
        <f t="shared" si="1"/>
        <v>3</v>
      </c>
    </row>
    <row r="17" spans="1:12" ht="15.75" customHeight="1">
      <c r="A17" s="3"/>
      <c r="B17" s="4" t="s">
        <v>104</v>
      </c>
      <c r="C17" s="9">
        <v>2</v>
      </c>
      <c r="D17">
        <v>0</v>
      </c>
      <c r="E17">
        <v>1</v>
      </c>
      <c r="F17">
        <v>1</v>
      </c>
      <c r="G17">
        <v>0</v>
      </c>
      <c r="H17">
        <v>0</v>
      </c>
      <c r="I17">
        <v>0</v>
      </c>
      <c r="J17" s="10">
        <f t="shared" si="1"/>
        <v>2</v>
      </c>
    </row>
    <row r="18" spans="1:12" ht="15.75" customHeight="1">
      <c r="A18" s="3"/>
      <c r="B18" s="4" t="s">
        <v>107</v>
      </c>
      <c r="C18" s="9">
        <v>2</v>
      </c>
      <c r="D18">
        <v>0</v>
      </c>
      <c r="E18">
        <v>0</v>
      </c>
      <c r="F18">
        <v>2</v>
      </c>
      <c r="G18">
        <v>0</v>
      </c>
      <c r="H18">
        <v>0</v>
      </c>
      <c r="I18">
        <v>0</v>
      </c>
      <c r="J18" s="10">
        <f t="shared" si="1"/>
        <v>2</v>
      </c>
    </row>
    <row r="19" spans="1:12" ht="15.75" customHeight="1">
      <c r="A19" s="3"/>
      <c r="B19" s="4" t="s">
        <v>109</v>
      </c>
      <c r="C19" s="9">
        <v>4</v>
      </c>
      <c r="D19">
        <v>0</v>
      </c>
      <c r="E19">
        <v>0</v>
      </c>
      <c r="F19">
        <v>0</v>
      </c>
      <c r="G19">
        <v>2</v>
      </c>
      <c r="H19">
        <v>2</v>
      </c>
      <c r="I19">
        <v>0</v>
      </c>
      <c r="J19" s="10">
        <f t="shared" si="1"/>
        <v>4</v>
      </c>
    </row>
    <row r="20" spans="1:12" ht="15.75" customHeight="1">
      <c r="A20" s="3"/>
      <c r="B20" s="4" t="s">
        <v>111</v>
      </c>
      <c r="C20">
        <v>4</v>
      </c>
      <c r="D20">
        <v>0</v>
      </c>
      <c r="E20">
        <v>0</v>
      </c>
      <c r="F20">
        <v>0</v>
      </c>
      <c r="G20">
        <v>0</v>
      </c>
      <c r="H20">
        <v>1</v>
      </c>
      <c r="I20">
        <v>2</v>
      </c>
      <c r="J20" s="10">
        <f t="shared" si="1"/>
        <v>3</v>
      </c>
    </row>
    <row r="21" spans="1:12" ht="15.75" customHeight="1">
      <c r="A21" s="3"/>
      <c r="B21" s="4" t="s">
        <v>118</v>
      </c>
      <c r="C21" s="9">
        <v>4</v>
      </c>
      <c r="D21">
        <v>2</v>
      </c>
      <c r="E21">
        <v>2</v>
      </c>
      <c r="F21">
        <v>0</v>
      </c>
      <c r="G21">
        <v>0</v>
      </c>
      <c r="H21">
        <v>0</v>
      </c>
      <c r="I21">
        <v>0</v>
      </c>
      <c r="J21" s="10">
        <f>SUM(D21:H21)</f>
        <v>4</v>
      </c>
    </row>
    <row r="22" spans="1:12" ht="15.75" customHeight="1">
      <c r="A22" s="3"/>
      <c r="B22" s="4" t="s">
        <v>121</v>
      </c>
      <c r="C22" s="9">
        <v>3</v>
      </c>
      <c r="D22">
        <v>0</v>
      </c>
      <c r="E22">
        <v>0</v>
      </c>
      <c r="F22">
        <v>1</v>
      </c>
      <c r="G22">
        <v>2</v>
      </c>
      <c r="H22">
        <v>0</v>
      </c>
      <c r="I22">
        <v>0</v>
      </c>
      <c r="J22" s="10">
        <f>SUM(D22:G22)</f>
        <v>3</v>
      </c>
    </row>
    <row r="23" spans="1:12" ht="15.75" customHeight="1">
      <c r="A23" s="3"/>
      <c r="B23" s="4" t="s">
        <v>128</v>
      </c>
      <c r="C23" s="9">
        <v>3</v>
      </c>
      <c r="D23">
        <v>3</v>
      </c>
      <c r="E23">
        <v>0</v>
      </c>
      <c r="F23">
        <v>0</v>
      </c>
      <c r="G23">
        <v>0</v>
      </c>
      <c r="H23">
        <v>0</v>
      </c>
      <c r="I23">
        <v>0</v>
      </c>
      <c r="J23" s="10">
        <f t="shared" ref="J23:J26" si="2">SUM(D23:I23)</f>
        <v>3</v>
      </c>
    </row>
    <row r="24" spans="1:12" ht="15.75" customHeight="1">
      <c r="A24" s="3"/>
      <c r="B24" s="4" t="s">
        <v>130</v>
      </c>
      <c r="C24" s="9">
        <v>3</v>
      </c>
      <c r="D24">
        <v>0</v>
      </c>
      <c r="E24">
        <v>2</v>
      </c>
      <c r="F24">
        <v>1</v>
      </c>
      <c r="G24">
        <v>0</v>
      </c>
      <c r="H24">
        <v>0</v>
      </c>
      <c r="I24">
        <v>0</v>
      </c>
      <c r="J24" s="10">
        <f t="shared" si="2"/>
        <v>3</v>
      </c>
    </row>
    <row r="25" spans="1:12" ht="15.75" customHeight="1">
      <c r="A25" s="3"/>
      <c r="B25" s="4" t="s">
        <v>132</v>
      </c>
      <c r="C25" s="9">
        <v>2</v>
      </c>
      <c r="D25">
        <v>0</v>
      </c>
      <c r="E25">
        <v>0</v>
      </c>
      <c r="F25">
        <v>2</v>
      </c>
      <c r="G25">
        <v>0</v>
      </c>
      <c r="H25">
        <v>0</v>
      </c>
      <c r="I25">
        <v>0</v>
      </c>
      <c r="J25" s="10">
        <f t="shared" si="2"/>
        <v>2</v>
      </c>
    </row>
    <row r="26" spans="1:12" ht="15.75" customHeight="1">
      <c r="A26" s="3"/>
      <c r="B26" s="4" t="s">
        <v>134</v>
      </c>
      <c r="C26">
        <v>2</v>
      </c>
      <c r="D26">
        <v>0</v>
      </c>
      <c r="E26">
        <v>0</v>
      </c>
      <c r="F26">
        <v>0</v>
      </c>
      <c r="G26">
        <v>1</v>
      </c>
      <c r="H26">
        <v>1</v>
      </c>
      <c r="I26">
        <v>0</v>
      </c>
      <c r="J26" s="10">
        <f t="shared" si="2"/>
        <v>2</v>
      </c>
    </row>
    <row r="27" spans="1:12" ht="15.75" customHeight="1">
      <c r="A27" s="3"/>
      <c r="B27" t="s">
        <v>136</v>
      </c>
      <c r="C27">
        <v>3</v>
      </c>
      <c r="D27">
        <v>0</v>
      </c>
      <c r="E27">
        <v>0</v>
      </c>
      <c r="F27">
        <v>0</v>
      </c>
      <c r="G27">
        <v>0</v>
      </c>
      <c r="H27">
        <v>0</v>
      </c>
      <c r="I27">
        <v>3</v>
      </c>
      <c r="J27" s="10">
        <f>SUM(D27:I27)</f>
        <v>3</v>
      </c>
    </row>
    <row r="28" spans="1:12" ht="15.75" customHeight="1">
      <c r="A28" s="3"/>
      <c r="B28" s="4"/>
      <c r="J28">
        <f>SUBTOTAL(109,Table_1[Column1])</f>
        <v>56</v>
      </c>
    </row>
    <row r="29" spans="1:12" ht="15.75" customHeight="1">
      <c r="A29" s="3"/>
      <c r="B29" s="4"/>
    </row>
    <row r="30" spans="1:12" ht="15.75" customHeight="1">
      <c r="A30" s="3"/>
      <c r="B30" s="4"/>
      <c r="L30" s="37"/>
    </row>
    <row r="31" spans="1:12" ht="15.75" customHeight="1">
      <c r="A31" s="3"/>
      <c r="B31" s="4"/>
      <c r="L31" s="37"/>
    </row>
    <row r="32" spans="1:12" ht="15.75" customHeight="1">
      <c r="A32" s="3"/>
      <c r="B32" s="4"/>
    </row>
    <row r="33" spans="1:12" ht="15.75" customHeight="1">
      <c r="A33" s="3"/>
    </row>
    <row r="34" spans="1:12" ht="15.75" customHeight="1">
      <c r="B34" s="11" t="s">
        <v>146</v>
      </c>
      <c r="C34" s="3">
        <f>SUM(C4:C27)</f>
        <v>56</v>
      </c>
      <c r="D34" s="3">
        <f t="shared" ref="D34:I34" si="3">C34-SUM(D4:D27)</f>
        <v>48</v>
      </c>
      <c r="E34" s="3">
        <f t="shared" si="3"/>
        <v>36</v>
      </c>
      <c r="F34" s="3">
        <f t="shared" si="3"/>
        <v>22</v>
      </c>
      <c r="G34" s="3">
        <f t="shared" si="3"/>
        <v>11</v>
      </c>
      <c r="H34" s="3">
        <f t="shared" si="3"/>
        <v>6</v>
      </c>
      <c r="I34" s="3">
        <f t="shared" si="3"/>
        <v>0</v>
      </c>
    </row>
    <row r="35" spans="1:12" ht="15.75" customHeight="1">
      <c r="B35" s="11" t="s">
        <v>147</v>
      </c>
      <c r="C35" s="3">
        <f>SUM(C4:C27)</f>
        <v>56</v>
      </c>
      <c r="D35" s="39">
        <f>C35-($C35/6)</f>
        <v>46.666666666666664</v>
      </c>
      <c r="E35" s="36">
        <f t="shared" ref="E35:H35" si="4">D35-($C35/6)</f>
        <v>37.333333333333329</v>
      </c>
      <c r="F35" s="36">
        <f t="shared" si="4"/>
        <v>27.999999999999993</v>
      </c>
      <c r="G35" s="36">
        <f t="shared" si="4"/>
        <v>18.666666666666657</v>
      </c>
      <c r="H35" s="36">
        <f t="shared" si="4"/>
        <v>9.3333333333333233</v>
      </c>
      <c r="I35" s="36">
        <f>H35-($C35/6)</f>
        <v>0</v>
      </c>
    </row>
    <row r="37" spans="1:12" ht="15.75" customHeight="1"/>
    <row r="38" spans="1:12" ht="13.5" customHeight="1"/>
    <row r="39" spans="1:12" ht="15.75" customHeight="1">
      <c r="B39" s="61" t="s">
        <v>148</v>
      </c>
      <c r="D39" s="42"/>
      <c r="E39" s="42"/>
      <c r="K39" s="62" t="s">
        <v>149</v>
      </c>
      <c r="L39" s="62"/>
    </row>
    <row r="40" spans="1:12" ht="15.75" customHeight="1">
      <c r="B40" s="61"/>
      <c r="D40" s="42"/>
      <c r="E40" s="42"/>
      <c r="K40" s="62"/>
      <c r="L40" s="62"/>
    </row>
    <row r="41" spans="1:12" ht="15.75" customHeight="1">
      <c r="B41" s="61"/>
      <c r="D41" s="42"/>
      <c r="E41" s="42"/>
      <c r="K41" s="62"/>
      <c r="L41" s="62"/>
    </row>
    <row r="42" spans="1:12" ht="15.75" customHeight="1">
      <c r="B42" s="61"/>
      <c r="D42" s="42"/>
      <c r="E42" s="42"/>
      <c r="K42" s="62"/>
      <c r="L42" s="62"/>
    </row>
    <row r="43" spans="1:12" ht="15.75" customHeight="1">
      <c r="B43" s="61"/>
      <c r="D43" s="42"/>
      <c r="E43" s="42"/>
      <c r="K43" s="62"/>
      <c r="L43" s="62"/>
    </row>
    <row r="44" spans="1:12" ht="15.75" customHeight="1">
      <c r="B44" s="61"/>
      <c r="D44" s="42"/>
      <c r="E44" s="42"/>
      <c r="K44" s="62"/>
      <c r="L44" s="62"/>
    </row>
    <row r="45" spans="1:12" ht="15.75" customHeight="1">
      <c r="B45" s="61"/>
      <c r="D45" s="42"/>
      <c r="E45" s="42"/>
      <c r="K45" s="62"/>
      <c r="L45" s="62"/>
    </row>
    <row r="46" spans="1:12" ht="15.75" customHeight="1">
      <c r="B46" s="61"/>
      <c r="D46" s="42"/>
      <c r="E46" s="42"/>
      <c r="K46" s="62"/>
      <c r="L46" s="62"/>
    </row>
    <row r="47" spans="1:12" ht="15.75" customHeight="1">
      <c r="B47" s="61"/>
      <c r="D47" s="42"/>
      <c r="E47" s="42"/>
      <c r="K47" s="62"/>
      <c r="L47" s="62"/>
    </row>
    <row r="48" spans="1:12" ht="15.75" customHeight="1">
      <c r="B48" s="61"/>
      <c r="D48" s="42"/>
      <c r="E48" s="42"/>
      <c r="K48" s="62"/>
      <c r="L48" s="62"/>
    </row>
    <row r="49" spans="2:12" ht="15.75" customHeight="1">
      <c r="B49" s="61"/>
      <c r="D49" s="42"/>
      <c r="E49" s="42"/>
      <c r="K49" s="62"/>
      <c r="L49" s="62"/>
    </row>
    <row r="50" spans="2:12" ht="15.75" customHeight="1">
      <c r="B50" s="61"/>
      <c r="D50" s="42"/>
      <c r="E50" s="42"/>
      <c r="K50" s="62"/>
      <c r="L50" s="62"/>
    </row>
    <row r="51" spans="2:12" ht="15.75" customHeight="1">
      <c r="B51" s="61"/>
      <c r="D51" s="42"/>
      <c r="E51" s="42"/>
      <c r="K51" s="62"/>
      <c r="L51" s="62"/>
    </row>
    <row r="52" spans="2:12" ht="15.75" customHeight="1">
      <c r="B52" s="61"/>
      <c r="D52" s="42"/>
      <c r="E52" s="42"/>
    </row>
    <row r="53" spans="2:12" ht="15.75" customHeight="1">
      <c r="B53" s="61"/>
      <c r="D53" s="42"/>
      <c r="E53" s="42"/>
    </row>
    <row r="54" spans="2:12" ht="21.75" customHeight="1">
      <c r="B54" s="61"/>
      <c r="D54" s="42"/>
      <c r="E54" s="42"/>
    </row>
    <row r="55" spans="2:12" ht="15.75" customHeight="1"/>
    <row r="56" spans="2:12" ht="15.75" customHeight="1">
      <c r="B56" s="42"/>
    </row>
    <row r="57" spans="2:12" ht="15.75" customHeight="1">
      <c r="B57" s="42"/>
    </row>
    <row r="58" spans="2:12" ht="15.75" customHeight="1">
      <c r="B58" s="42"/>
    </row>
    <row r="59" spans="2:12" ht="15.75" customHeight="1">
      <c r="B59" s="42"/>
    </row>
    <row r="60" spans="2:12" ht="15.75" customHeight="1">
      <c r="B60" s="42"/>
    </row>
    <row r="61" spans="2:12" ht="15.75" customHeight="1">
      <c r="B61" s="42"/>
    </row>
    <row r="62" spans="2:12" ht="15.75" customHeight="1">
      <c r="B62" s="42"/>
    </row>
    <row r="63" spans="2:12" ht="15.75" customHeight="1">
      <c r="B63" s="42"/>
    </row>
    <row r="64" spans="2:12" ht="15.75" customHeight="1">
      <c r="B64" s="42"/>
    </row>
    <row r="65" spans="2:2" ht="15.75" customHeight="1">
      <c r="B65" s="42"/>
    </row>
    <row r="66" spans="2:2" ht="15.75" customHeight="1">
      <c r="B66" s="42"/>
    </row>
    <row r="67" spans="2:2" ht="15.75" customHeight="1">
      <c r="B67" s="42"/>
    </row>
    <row r="68" spans="2:2" ht="15.75" customHeight="1">
      <c r="B68" s="42"/>
    </row>
    <row r="69" spans="2:2" ht="15.75" customHeight="1">
      <c r="B69" s="42"/>
    </row>
    <row r="70" spans="2:2" ht="15.75" customHeight="1"/>
    <row r="71" spans="2:2" ht="15.75" customHeight="1"/>
    <row r="72" spans="2:2" ht="15.75" customHeight="1"/>
    <row r="73" spans="2:2" ht="15.75" customHeight="1"/>
    <row r="74" spans="2:2" ht="15.75" customHeight="1"/>
    <row r="75" spans="2:2" ht="15.75" customHeight="1"/>
    <row r="76" spans="2:2" ht="15.75" customHeight="1"/>
    <row r="77" spans="2:2" ht="15.75" customHeight="1"/>
    <row r="78" spans="2:2" ht="15.75" customHeight="1"/>
    <row r="79" spans="2:2" ht="15.75" customHeight="1"/>
    <row r="80" spans="2:2"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sheetData>
  <mergeCells count="2">
    <mergeCell ref="B39:B54"/>
    <mergeCell ref="K39:L51"/>
  </mergeCells>
  <pageMargins left="0.7" right="0.7" top="0.75" bottom="0.75" header="0" footer="0"/>
  <pageSetup orientation="landscape"/>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f1f31ffb-9912-4459-99c8-b26e82094b51"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EDB39E34F5A9B445B025C05B2A05D030" ma:contentTypeVersion="17" ma:contentTypeDescription="Crear nuevo documento." ma:contentTypeScope="" ma:versionID="38edacd48cdc5c2312d41576379e4a16">
  <xsd:schema xmlns:xsd="http://www.w3.org/2001/XMLSchema" xmlns:xs="http://www.w3.org/2001/XMLSchema" xmlns:p="http://schemas.microsoft.com/office/2006/metadata/properties" xmlns:ns3="f1f31ffb-9912-4459-99c8-b26e82094b51" xmlns:ns4="ce621958-37b1-43fe-a1f1-1aad67996a88" targetNamespace="http://schemas.microsoft.com/office/2006/metadata/properties" ma:root="true" ma:fieldsID="06dedfa5dc0651377d26638eb5be7444" ns3:_="" ns4:_="">
    <xsd:import namespace="f1f31ffb-9912-4459-99c8-b26e82094b51"/>
    <xsd:import namespace="ce621958-37b1-43fe-a1f1-1aad67996a88"/>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KeyPoints" minOccurs="0"/>
                <xsd:element ref="ns3:MediaServiceKeyPoints" minOccurs="0"/>
                <xsd:element ref="ns3:MediaServiceDateTaken" minOccurs="0"/>
                <xsd:element ref="ns3:MediaLengthInSeconds" minOccurs="0"/>
                <xsd:element ref="ns3:MediaServiceAutoTags" minOccurs="0"/>
                <xsd:element ref="ns3:MediaServiceOCR" minOccurs="0"/>
                <xsd:element ref="ns3:MediaServiceGenerationTime" minOccurs="0"/>
                <xsd:element ref="ns3:MediaServiceEventHashCode" minOccurs="0"/>
                <xsd:element ref="ns3:_activity" minOccurs="0"/>
                <xsd:element ref="ns3:MediaServiceObjectDetectorVersions" minOccurs="0"/>
                <xsd:element ref="ns3:MediaServiceSearchProperties"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f31ffb-9912-4459-99c8-b26e82094b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AutoTags" ma:index="17" nillable="true" ma:displayName="Tags" ma:internalName="MediaServiceAutoTags"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_activity" ma:index="21" nillable="true" ma:displayName="_activity" ma:hidden="true" ma:internalName="_activity">
      <xsd:simpleType>
        <xsd:restriction base="dms:Note"/>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SystemTags" ma:index="24"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e621958-37b1-43fe-a1f1-1aad67996a88"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SharingHintHash" ma:index="12"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E68ACD0-FDB4-4963-8DDE-194774257757}"/>
</file>

<file path=customXml/itemProps2.xml><?xml version="1.0" encoding="utf-8"?>
<ds:datastoreItem xmlns:ds="http://schemas.openxmlformats.org/officeDocument/2006/customXml" ds:itemID="{EE2D3475-5963-4362-A8AA-EEE29492F3BB}"/>
</file>

<file path=customXml/itemProps3.xml><?xml version="1.0" encoding="utf-8"?>
<ds:datastoreItem xmlns:ds="http://schemas.openxmlformats.org/officeDocument/2006/customXml" ds:itemID="{252A9BF3-7972-4C9E-8929-D234C4F0E52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USUARIO</dc:creator>
  <cp:keywords/>
  <dc:description/>
  <cp:lastModifiedBy/>
  <cp:revision/>
  <dcterms:created xsi:type="dcterms:W3CDTF">2023-06-05T13:12:31Z</dcterms:created>
  <dcterms:modified xsi:type="dcterms:W3CDTF">2024-07-08T12:56:16Z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0x010100EDB39E34F5A9B445B025C05B2A05D030</vt:lpwstr>
  </property>
</Properties>
</file>